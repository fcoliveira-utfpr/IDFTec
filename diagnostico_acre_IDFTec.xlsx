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Municipios_AC" sheetId="2" state="visible" r:id="rId4"/>
    <sheet name="Series_anuais" sheetId="3" state="visible" r:id="rId5"/>
    <sheet name="Razao_UF" sheetId="4" state="visible" r:id="rId6"/>
    <sheet name="Comparacao_estaco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Moreira et al. (2024), Tabela 2: intensidade LN2, duração 60 min. Fonte: doi.org/10.1590/1807-1929/agriambi.v28n6e275802</t>
        </r>
      </text>
    </comment>
    <comment ref="K4" authorId="0">
      <text>
        <r>
          <rPr>
            <sz val="10"/>
            <rFont val="Arial"/>
            <family val="2"/>
          </rPr>
          <t xml:space="preserve">Moreira et al. (2024), texto e Fig. 2: média das máximas diárias anuais 1970–2021.</t>
        </r>
      </text>
    </comment>
  </commentList>
</comments>
</file>

<file path=xl/sharedStrings.xml><?xml version="1.0" encoding="utf-8"?>
<sst xmlns="http://schemas.openxmlformats.org/spreadsheetml/2006/main" count="307" uniqueCount="232">
  <si>
    <t xml:space="preserve">Diagnóstico do expoente a no Acre — IDFTec (BR-DWGD, 1961–2025)</t>
  </si>
  <si>
    <t xml:space="preserve">Conclusão</t>
  </si>
  <si>
    <t xml:space="preserve">O expoente a alto do Acre é muito provavelmente um artefato do início da série do BR-DWGD (1961–1980), e não comportamento real da chuva.</t>
  </si>
  <si>
    <t xml:space="preserve">Achado 1</t>
  </si>
  <si>
    <t xml:space="preserve">O Acre se divide em dois blocos: Vale do Juruá (a de 0,08 a 0,27; média 0,14) e Vale do Acre (a de 0,30 a 0,53; média 0,42). A média estadual de 0,317 vem do Vale do Acre (ver aba Municipios_AC).</t>
  </si>
  <si>
    <t xml:space="preserve">Achado 2</t>
  </si>
  <si>
    <t xml:space="preserve">No Vale do Acre, os extremos concentram-se nos anos 1960: em Rio Branco os 5 maiores máximos anuais são de 1961–1967 (ver aba Series_anuais).</t>
  </si>
  <si>
    <t xml:space="preserve">Achado 3</t>
  </si>
  <si>
    <t xml:space="preserve">Só o Acre tem a razão média das máximas 1961–80 / 1981–2025 muito acima de 1 (ver aba Razao_UF).</t>
  </si>
  <si>
    <t xml:space="preserve">Achado 4</t>
  </si>
  <si>
    <t xml:space="preserve">Recalibrado com 1981–2025, o a médio do Acre cai para ~0,17 e Rio Branco passa a concordar com a estação do INMET (ver aba Comparacao_estacoes).</t>
  </si>
  <si>
    <t xml:space="preserve">Achado 5</t>
  </si>
  <si>
    <t xml:space="preserve">As médias das máximas diárias nas estações são 28–47% maiores que na grade, reforçando que as intensidades da grade são limites inferiores.</t>
  </si>
  <si>
    <t xml:space="preserve">Impacto no artigo</t>
  </si>
  <si>
    <t xml:space="preserve">Perdem sustentação: destaque do Acre no resumo, Tabela 4 (Ψ), exemplo de 39% / 91,7%, frase "more than double the next-highest state", leitura de MAE/RMSE do Acre. A curva publicada para Rio Branco superestima eventos raros.</t>
  </si>
  <si>
    <t xml:space="preserve">Caminho A (recomendado)</t>
  </si>
  <si>
    <t xml:space="preserve">Refazer o pipeline nacional com 1981–2025 (45 anos) e incluir a comparação 1961–2025 vs 1981–2025 do Acre como análise de sensibilidade. Todos os números mudam; site corrigido.</t>
  </si>
  <si>
    <t xml:space="preserve">Caminho B</t>
  </si>
  <si>
    <t xml:space="preserve">Manter 1961–2025, transformar o Acre em achado de qualidade de dados (subseção nova), trocar o exemplo da análise de risco e pôr aviso no site para o Vale do Acre.</t>
  </si>
  <si>
    <t xml:space="preserve">Legenda</t>
  </si>
  <si>
    <t xml:space="preserve">Azul</t>
  </si>
  <si>
    <t xml:space="preserve">valores de entrada (dados do repositório ou de Moreira et al., 2024)</t>
  </si>
  <si>
    <t xml:space="preserve">Preto</t>
  </si>
  <si>
    <t xml:space="preserve">fórmulas calculadas na planilha</t>
  </si>
  <si>
    <t xml:space="preserve">Verde</t>
  </si>
  <si>
    <t xml:space="preserve">referências a outra aba</t>
  </si>
  <si>
    <t xml:space="preserve">Fontes</t>
  </si>
  <si>
    <t xml:space="preserve">Dados: github.com/fcoliveira-utfpr/IDFTec (xavier_chuva_maxima_diaria_anual_municipios_1961_2025.json; idf_municipios_resumo.csv). Recalibração 1981–2025 com calcular_idf_municipios.py (mesmas funções do pipeline).</t>
  </si>
  <si>
    <t xml:space="preserve">Estações: Moreira et al. (2024), Rev. Bras. Eng. Agríc. Ambiental 28(6):e275802, Tabela 2 e Fig. 2 (INMET 82704, 82807, 82915; 1970–2021).</t>
  </si>
  <si>
    <t xml:space="preserve">Coeficientes IDF dos municípios do Acre: série completa (1961–2025) vs 1981–2025</t>
  </si>
  <si>
    <t xml:space="preserve">Código IBGE</t>
  </si>
  <si>
    <t xml:space="preserve">Município</t>
  </si>
  <si>
    <t xml:space="preserve">Mesorregião</t>
  </si>
  <si>
    <t xml:space="preserve">Distribuição 1961–2025</t>
  </si>
  <si>
    <t xml:space="preserve">a 1961–2025</t>
  </si>
  <si>
    <t xml:space="preserve">k 1961–2025 (mm/h)</t>
  </si>
  <si>
    <t xml:space="preserve">Ψ100/5 1961–2025</t>
  </si>
  <si>
    <t xml:space="preserve">Distribuição 1981–2025</t>
  </si>
  <si>
    <t xml:space="preserve">a 1981–2025</t>
  </si>
  <si>
    <t xml:space="preserve">k 1981–2025 (mm/h)</t>
  </si>
  <si>
    <t xml:space="preserve">Ψ100/5 1981–2025</t>
  </si>
  <si>
    <t xml:space="preserve">Média máx. 1961–80 (mm)</t>
  </si>
  <si>
    <t xml:space="preserve">Média máx. 1981–2025 (mm)</t>
  </si>
  <si>
    <t xml:space="preserve">Razão 61–80 / 81–25</t>
  </si>
  <si>
    <t xml:space="preserve">CV 1961–2025</t>
  </si>
  <si>
    <t xml:space="preserve">CV 1981–2025</t>
  </si>
  <si>
    <t xml:space="preserve">1200427</t>
  </si>
  <si>
    <t xml:space="preserve">Rodrigues Alves</t>
  </si>
  <si>
    <t xml:space="preserve">Vale do Juruá</t>
  </si>
  <si>
    <t xml:space="preserve">Normal</t>
  </si>
  <si>
    <t xml:space="preserve">Weibull</t>
  </si>
  <si>
    <t xml:space="preserve">1200336</t>
  </si>
  <si>
    <t xml:space="preserve">Mâncio Lima</t>
  </si>
  <si>
    <t xml:space="preserve">Gama</t>
  </si>
  <si>
    <t xml:space="preserve">1200203</t>
  </si>
  <si>
    <t xml:space="preserve">Cruzeiro do Sul</t>
  </si>
  <si>
    <t xml:space="preserve">1200393</t>
  </si>
  <si>
    <t xml:space="preserve">Porto Walter</t>
  </si>
  <si>
    <t xml:space="preserve">1200609</t>
  </si>
  <si>
    <t xml:space="preserve">Tarauacá</t>
  </si>
  <si>
    <t xml:space="preserve">1200351</t>
  </si>
  <si>
    <t xml:space="preserve">Marechal Thaumaturgo</t>
  </si>
  <si>
    <t xml:space="preserve">1200328</t>
  </si>
  <si>
    <t xml:space="preserve">Jordão</t>
  </si>
  <si>
    <t xml:space="preserve">GEV</t>
  </si>
  <si>
    <t xml:space="preserve">1200302</t>
  </si>
  <si>
    <t xml:space="preserve">Feijó</t>
  </si>
  <si>
    <t xml:space="preserve">1200435</t>
  </si>
  <si>
    <t xml:space="preserve">Santa Rosa do Purus</t>
  </si>
  <si>
    <t xml:space="preserve">Vale do Acre</t>
  </si>
  <si>
    <t xml:space="preserve">Log-Normal</t>
  </si>
  <si>
    <t xml:space="preserve">1200385</t>
  </si>
  <si>
    <t xml:space="preserve">Plácido de Castro</t>
  </si>
  <si>
    <t xml:space="preserve">1200344</t>
  </si>
  <si>
    <t xml:space="preserve">Manoel Urbano</t>
  </si>
  <si>
    <t xml:space="preserve">1200500</t>
  </si>
  <si>
    <t xml:space="preserve">Sena Madureira</t>
  </si>
  <si>
    <t xml:space="preserve">Gumbel</t>
  </si>
  <si>
    <t xml:space="preserve">1200138</t>
  </si>
  <si>
    <t xml:space="preserve">Bujari</t>
  </si>
  <si>
    <t xml:space="preserve">1200401</t>
  </si>
  <si>
    <t xml:space="preserve">Rio Branco</t>
  </si>
  <si>
    <t xml:space="preserve">1200179</t>
  </si>
  <si>
    <t xml:space="preserve">Capixaba</t>
  </si>
  <si>
    <t xml:space="preserve">1200807</t>
  </si>
  <si>
    <t xml:space="preserve">Porto Acre</t>
  </si>
  <si>
    <t xml:space="preserve">1200013</t>
  </si>
  <si>
    <t xml:space="preserve">Acrelândia</t>
  </si>
  <si>
    <t xml:space="preserve">1200252</t>
  </si>
  <si>
    <t xml:space="preserve">Epitaciolândia</t>
  </si>
  <si>
    <t xml:space="preserve">1200708</t>
  </si>
  <si>
    <t xml:space="preserve">Xapuri</t>
  </si>
  <si>
    <t xml:space="preserve">1200104</t>
  </si>
  <si>
    <t xml:space="preserve">Brasiléia</t>
  </si>
  <si>
    <t xml:space="preserve">1200450</t>
  </si>
  <si>
    <t xml:space="preserve">Senador Guiomard</t>
  </si>
  <si>
    <t xml:space="preserve">1200054</t>
  </si>
  <si>
    <t xml:space="preserve">Assis Brasil</t>
  </si>
  <si>
    <t xml:space="preserve">Resumo</t>
  </si>
  <si>
    <t xml:space="preserve">Média — Acre</t>
  </si>
  <si>
    <t xml:space="preserve">Desvio padrão — Acre</t>
  </si>
  <si>
    <t xml:space="preserve">Média — Vale do Juruá</t>
  </si>
  <si>
    <t xml:space="preserve">Média — Vale do Acre</t>
  </si>
  <si>
    <t xml:space="preserve">Municípios com razão &gt; 1,3</t>
  </si>
  <si>
    <t xml:space="preserve">Notas: Ψ100/5 = 20^a (Eq. de amplificação do artigo; independe de k, b, c e da duração). Recalibração 1981–2025 feita com as funções de calcular_idf_municipios.py, sem nenhuma alteração de método. Mesorregiões geográficas do IBGE. Linha destacada: Rio Branco.</t>
  </si>
  <si>
    <t xml:space="preserve">Máxima diária anual (mm) — BR-DWGD via GEE, municípios selecionados do Acre</t>
  </si>
  <si>
    <t xml:space="preserve">Ano</t>
  </si>
  <si>
    <t xml:space="preserve">Estatística</t>
  </si>
  <si>
    <t xml:space="preserve">1961</t>
  </si>
  <si>
    <t xml:space="preserve">Média 1961–1980</t>
  </si>
  <si>
    <t xml:space="preserve">1962</t>
  </si>
  <si>
    <t xml:space="preserve">Média 1981–2000</t>
  </si>
  <si>
    <t xml:space="preserve">1963</t>
  </si>
  <si>
    <t xml:space="preserve">Média 2001–2025</t>
  </si>
  <si>
    <t xml:space="preserve">1964</t>
  </si>
  <si>
    <t xml:space="preserve">CV 1961–1980</t>
  </si>
  <si>
    <t xml:space="preserve">1965</t>
  </si>
  <si>
    <t xml:space="preserve">1966</t>
  </si>
  <si>
    <t xml:space="preserve">Máximo 1961–1980</t>
  </si>
  <si>
    <t xml:space="preserve">1967</t>
  </si>
  <si>
    <t xml:space="preserve">Máximo 1981–2025</t>
  </si>
  <si>
    <t xml:space="preserve">1968</t>
  </si>
  <si>
    <t xml:space="preserve">1969</t>
  </si>
  <si>
    <t xml:space="preserve">Anos entre os 5 maiores (1961–1967)</t>
  </si>
  <si>
    <t xml:space="preserve">1970</t>
  </si>
  <si>
    <t xml:space="preserve">1971</t>
  </si>
  <si>
    <t xml:space="preserve">Linhas cinza: 1961–1980. Faixas de média, CV e máximo calculadas por posição na coluna de anos (1961 = linha 4).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</si>
  <si>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</si>
  <si>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</si>
  <si>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</si>
  <si>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</si>
  <si>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</si>
  <si>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</si>
  <si>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</si>
  <si>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</si>
  <si>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</si>
  <si>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</si>
  <si>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</si>
  <si>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</si>
  <si>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</si>
  <si>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</si>
  <si>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</si>
  <si>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</si>
  <si>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</si>
  <si>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</si>
  <si>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</si>
  <si>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</si>
  <si>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</si>
  <si>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</si>
  <si>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</si>
  <si>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</si>
  <si>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</si>
  <si>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</si>
  <si>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</si>
  <si>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</si>
  <si>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</si>
  <si>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</si>
  <si>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</si>
  <si>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</si>
  <si>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</si>
  <si>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</si>
  <si>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</si>
  <si>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</si>
  <si>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</si>
  <si>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</si>
  <si>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</si>
  <si>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</si>
  <si>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</si>
  <si>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</si>
  <si>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</si>
  <si>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</si>
  <si>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</si>
  <si>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</si>
  <si>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</si>
  <si>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</si>
  <si>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</si>
  <si>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</si>
  <si>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</si>
  <si>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</si>
  <si>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</si>
  <si>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</si>
  <si>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Comparação 1961–1980 vs 1981–2025 por UF (médias das razões municipais)</t>
  </si>
  <si>
    <t xml:space="preserve">UF</t>
  </si>
  <si>
    <t xml:space="preserve">Nº municípios</t>
  </si>
  <si>
    <t xml:space="preserve">Razão média 61–80 / 81–25</t>
  </si>
  <si>
    <t xml:space="preserve">% com razão &gt; 1,3</t>
  </si>
  <si>
    <t xml:space="preserve">AC</t>
  </si>
  <si>
    <t xml:space="preserve">RO</t>
  </si>
  <si>
    <t xml:space="preserve">AM</t>
  </si>
  <si>
    <t xml:space="preserve">AP</t>
  </si>
  <si>
    <t xml:space="preserve">PI</t>
  </si>
  <si>
    <t xml:space="preserve">RN</t>
  </si>
  <si>
    <t xml:space="preserve">PE</t>
  </si>
  <si>
    <t xml:space="preserve">BA</t>
  </si>
  <si>
    <t xml:space="preserve">MS</t>
  </si>
  <si>
    <t xml:space="preserve">SP</t>
  </si>
  <si>
    <t xml:space="preserve">MT</t>
  </si>
  <si>
    <t xml:space="preserve">PA</t>
  </si>
  <si>
    <t xml:space="preserve">RJ</t>
  </si>
  <si>
    <t xml:space="preserve">RR</t>
  </si>
  <si>
    <t xml:space="preserve">MA</t>
  </si>
  <si>
    <t xml:space="preserve">GO</t>
  </si>
  <si>
    <t xml:space="preserve">CE</t>
  </si>
  <si>
    <t xml:space="preserve">PB</t>
  </si>
  <si>
    <t xml:space="preserve">AL</t>
  </si>
  <si>
    <t xml:space="preserve">MG</t>
  </si>
  <si>
    <t xml:space="preserve">TO</t>
  </si>
  <si>
    <t xml:space="preserve">ES</t>
  </si>
  <si>
    <t xml:space="preserve">SC</t>
  </si>
  <si>
    <t xml:space="preserve">SE</t>
  </si>
  <si>
    <t xml:space="preserve">RS</t>
  </si>
  <si>
    <t xml:space="preserve">PR</t>
  </si>
  <si>
    <t xml:space="preserve">DF</t>
  </si>
  <si>
    <t xml:space="preserve">Brasil</t>
  </si>
  <si>
    <t xml:space="preserve">Razão = média das máximas diárias anuais de 1961–1980 dividida pela de 1981–2025, calculada por município e depois promediada na UF (linha Brasil: média dos 5.569 municípios). Valores pré-calculados em Python a partir do JSON do repositório.</t>
  </si>
  <si>
    <t xml:space="preserve">Grade (IDFTec) vs estações do INMET (Moreira et al., 2024)</t>
  </si>
  <si>
    <t xml:space="preserve">Estação INMET</t>
  </si>
  <si>
    <t xml:space="preserve">i 60 min, T=5 (mm/h)</t>
  </si>
  <si>
    <t xml:space="preserve">i 60 min, T=100 (mm/h)</t>
  </si>
  <si>
    <t xml:space="preserve">Ψ100/5 estação</t>
  </si>
  <si>
    <t xml:space="preserve">a equivalente estação</t>
  </si>
  <si>
    <t xml:space="preserve">a grade 1961–2025</t>
  </si>
  <si>
    <t xml:space="preserve">Ψ100/5 grade 1961–2025</t>
  </si>
  <si>
    <t xml:space="preserve">a grade 1981–2025</t>
  </si>
  <si>
    <t xml:space="preserve">Ψ100/5 grade 1981–2025</t>
  </si>
  <si>
    <t xml:space="preserve">Média máx. estação 1970–2021 (mm)</t>
  </si>
  <si>
    <t xml:space="preserve">Média máx. grade 1961–2025 (mm)</t>
  </si>
  <si>
    <t xml:space="preserve">Diferença grade vs estação</t>
  </si>
  <si>
    <t xml:space="preserve">82915</t>
  </si>
  <si>
    <t xml:space="preserve">82704</t>
  </si>
  <si>
    <t xml:space="preserve">82807</t>
  </si>
  <si>
    <t xml:space="preserve">Ψ da estação calculado com as intensidades de 60 min da Tabela 2 de Moreira et al. (2024); a razão LN2 praticamente não varia com a duração. "a equivalente" = ln(Ψ)/ln(20), para comparar com o expoente da equação IDF. Períodos diferentes: estação 1970–2021; grade 1961–2025.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</si>
</sst>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"/>
    <numFmt numFmtId="167" formatCode="0.00"/>
    <numFmt numFmtId="168" formatCode="0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3" t="s">
        <v>2</v>
      </c>
    </row>
    <row r="4" customFormat="false" ht="26.85" hidden="false" customHeight="false" outlineLevel="0" collapsed="false">
      <c r="A4" s="2" t="s">
        <v>3</v>
      </c>
      <c r="B4" s="3" t="s">
        <v>4</v>
      </c>
    </row>
    <row r="5" customFormat="false" ht="26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6.85" hidden="false" customHeight="false" outlineLevel="0" collapsed="false">
      <c r="A7" s="2" t="s">
        <v>9</v>
      </c>
      <c r="B7" s="3" t="s">
        <v>10</v>
      </c>
    </row>
    <row r="8" customFormat="false" ht="26.85" hidden="false" customHeight="false" outlineLevel="0" collapsed="false">
      <c r="A8" s="2" t="s">
        <v>11</v>
      </c>
      <c r="B8" s="3" t="s">
        <v>12</v>
      </c>
    </row>
    <row r="9" customFormat="false" ht="26.85" hidden="false" customHeight="false" outlineLevel="0" collapsed="false">
      <c r="A9" s="2" t="s">
        <v>13</v>
      </c>
      <c r="B9" s="3" t="s">
        <v>14</v>
      </c>
    </row>
    <row r="10" customFormat="false" ht="26.85" hidden="false" customHeight="false" outlineLevel="0" collapsed="false">
      <c r="A10" s="2" t="s">
        <v>15</v>
      </c>
      <c r="B10" s="3" t="s">
        <v>16</v>
      </c>
    </row>
    <row r="11" customFormat="false" ht="26.85" hidden="false" customHeight="false" outlineLevel="0" collapsed="false">
      <c r="A11" s="2" t="s">
        <v>17</v>
      </c>
      <c r="B11" s="3" t="s">
        <v>18</v>
      </c>
    </row>
    <row r="13" customFormat="false" ht="15" hidden="false" customHeight="false" outlineLevel="0" collapsed="false">
      <c r="A13" s="4" t="s">
        <v>19</v>
      </c>
    </row>
    <row r="14" customFormat="false" ht="15" hidden="false" customHeight="false" outlineLevel="0" collapsed="false">
      <c r="A14" s="5" t="s">
        <v>20</v>
      </c>
      <c r="B14" s="6" t="s">
        <v>21</v>
      </c>
    </row>
    <row r="15" customFormat="false" ht="15" hidden="false" customHeight="false" outlineLevel="0" collapsed="false">
      <c r="A15" s="6" t="s">
        <v>22</v>
      </c>
      <c r="B15" s="6" t="s">
        <v>23</v>
      </c>
    </row>
    <row r="16" customFormat="false" ht="15" hidden="false" customHeight="false" outlineLevel="0" collapsed="false">
      <c r="A16" s="7" t="s">
        <v>24</v>
      </c>
      <c r="B16" s="6" t="s">
        <v>25</v>
      </c>
    </row>
    <row r="18" customFormat="false" ht="15" hidden="false" customHeight="false" outlineLevel="0" collapsed="false">
      <c r="A18" s="4" t="s">
        <v>26</v>
      </c>
    </row>
    <row r="19" customFormat="false" ht="26.85" hidden="false" customHeight="false" outlineLevel="0" collapsed="false">
      <c r="B19" s="8" t="s">
        <v>27</v>
      </c>
    </row>
    <row r="20" customFormat="false" ht="26.85" hidden="false" customHeight="false" outlineLevel="0" collapsed="false">
      <c r="B20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1"/>
    <col collapsed="false" customWidth="true" hidden="false" outlineLevel="0" max="16" min="15" style="0" width="9"/>
  </cols>
  <sheetData>
    <row r="1" customFormat="false" ht="17.35" hidden="false" customHeight="false" outlineLevel="0" collapsed="false">
      <c r="A1" s="1" t="s">
        <v>29</v>
      </c>
    </row>
    <row r="3" customFormat="false" ht="45" hidden="false" customHeight="true" outlineLevel="0" collapsed="false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  <c r="K3" s="9" t="s">
        <v>40</v>
      </c>
      <c r="L3" s="9" t="s">
        <v>41</v>
      </c>
      <c r="M3" s="9" t="s">
        <v>42</v>
      </c>
      <c r="N3" s="9" t="s">
        <v>43</v>
      </c>
      <c r="O3" s="9" t="s">
        <v>44</v>
      </c>
      <c r="P3" s="9" t="s">
        <v>45</v>
      </c>
    </row>
    <row r="4" customFormat="false" ht="15" hidden="false" customHeight="false" outlineLevel="0" collapsed="false">
      <c r="A4" s="10" t="s">
        <v>46</v>
      </c>
      <c r="B4" s="10" t="s">
        <v>47</v>
      </c>
      <c r="C4" s="10" t="s">
        <v>48</v>
      </c>
      <c r="D4" s="10" t="s">
        <v>49</v>
      </c>
      <c r="E4" s="11" t="n">
        <v>0.0806</v>
      </c>
      <c r="F4" s="12" t="n">
        <v>678.14</v>
      </c>
      <c r="G4" s="13" t="n">
        <f aca="false">20^E4</f>
        <v>1.27310146427334</v>
      </c>
      <c r="H4" s="10" t="s">
        <v>50</v>
      </c>
      <c r="I4" s="11" t="n">
        <v>0.1039</v>
      </c>
      <c r="J4" s="12" t="n">
        <v>594.67</v>
      </c>
      <c r="K4" s="13" t="n">
        <f aca="false">20^I4</f>
        <v>1.3651394481315</v>
      </c>
      <c r="L4" s="12" t="n">
        <v>62.8</v>
      </c>
      <c r="M4" s="12" t="n">
        <v>49.23</v>
      </c>
      <c r="N4" s="13" t="n">
        <f aca="false">L4/M4</f>
        <v>1.27564493195206</v>
      </c>
      <c r="O4" s="11" t="n">
        <v>0.2217</v>
      </c>
      <c r="P4" s="11" t="n">
        <v>0.2108</v>
      </c>
    </row>
    <row r="5" customFormat="false" ht="15" hidden="false" customHeight="false" outlineLevel="0" collapsed="false">
      <c r="A5" s="10" t="s">
        <v>51</v>
      </c>
      <c r="B5" s="10" t="s">
        <v>52</v>
      </c>
      <c r="C5" s="10" t="s">
        <v>48</v>
      </c>
      <c r="D5" s="10" t="s">
        <v>49</v>
      </c>
      <c r="E5" s="11" t="n">
        <v>0.0807</v>
      </c>
      <c r="F5" s="12" t="n">
        <v>699.2</v>
      </c>
      <c r="G5" s="13" t="n">
        <f aca="false">20^E5</f>
        <v>1.27348290852014</v>
      </c>
      <c r="H5" s="10" t="s">
        <v>53</v>
      </c>
      <c r="I5" s="11" t="n">
        <v>0.1425</v>
      </c>
      <c r="J5" s="12" t="n">
        <v>594.59</v>
      </c>
      <c r="K5" s="13" t="n">
        <f aca="false">20^I5</f>
        <v>1.53248691274068</v>
      </c>
      <c r="L5" s="12" t="n">
        <v>63.13</v>
      </c>
      <c r="M5" s="12" t="n">
        <v>51.47</v>
      </c>
      <c r="N5" s="13" t="n">
        <f aca="false">L5/M5</f>
        <v>1.22653973188265</v>
      </c>
      <c r="O5" s="11" t="n">
        <v>0.222</v>
      </c>
      <c r="P5" s="11" t="n">
        <v>0.2352</v>
      </c>
    </row>
    <row r="6" customFormat="false" ht="15" hidden="false" customHeight="false" outlineLevel="0" collapsed="false">
      <c r="A6" s="10" t="s">
        <v>54</v>
      </c>
      <c r="B6" s="10" t="s">
        <v>55</v>
      </c>
      <c r="C6" s="10" t="s">
        <v>48</v>
      </c>
      <c r="D6" s="10" t="s">
        <v>50</v>
      </c>
      <c r="E6" s="11" t="n">
        <v>0.1131</v>
      </c>
      <c r="F6" s="12" t="n">
        <v>650.01</v>
      </c>
      <c r="G6" s="13" t="n">
        <f aca="false">20^E6</f>
        <v>1.4032869695275</v>
      </c>
      <c r="H6" s="10" t="s">
        <v>53</v>
      </c>
      <c r="I6" s="11" t="n">
        <v>0.131</v>
      </c>
      <c r="J6" s="12" t="n">
        <v>563.4</v>
      </c>
      <c r="K6" s="13" t="n">
        <f aca="false">20^I6</f>
        <v>1.48059040101809</v>
      </c>
      <c r="L6" s="12" t="n">
        <v>62.44</v>
      </c>
      <c r="M6" s="12" t="n">
        <v>47.59</v>
      </c>
      <c r="N6" s="13" t="n">
        <f aca="false">L6/M6</f>
        <v>1.31204034461021</v>
      </c>
      <c r="O6" s="11" t="n">
        <v>0.267</v>
      </c>
      <c r="P6" s="11" t="n">
        <v>0.2559</v>
      </c>
    </row>
    <row r="7" customFormat="false" ht="15" hidden="false" customHeight="false" outlineLevel="0" collapsed="false">
      <c r="A7" s="10" t="s">
        <v>56</v>
      </c>
      <c r="B7" s="10" t="s">
        <v>57</v>
      </c>
      <c r="C7" s="10" t="s">
        <v>48</v>
      </c>
      <c r="D7" s="10" t="s">
        <v>50</v>
      </c>
      <c r="E7" s="11" t="n">
        <v>0.1196</v>
      </c>
      <c r="F7" s="12" t="n">
        <v>658.47</v>
      </c>
      <c r="G7" s="13" t="n">
        <f aca="false">20^E7</f>
        <v>1.43087991457836</v>
      </c>
      <c r="H7" s="10" t="s">
        <v>50</v>
      </c>
      <c r="I7" s="11" t="n">
        <v>0.1497</v>
      </c>
      <c r="J7" s="12" t="n">
        <v>577.07</v>
      </c>
      <c r="K7" s="13" t="n">
        <f aca="false">20^I7</f>
        <v>1.56590059939809</v>
      </c>
      <c r="L7" s="12" t="n">
        <v>61.81</v>
      </c>
      <c r="M7" s="12" t="n">
        <v>50.56</v>
      </c>
      <c r="N7" s="13" t="n">
        <f aca="false">L7/M7</f>
        <v>1.22250791139241</v>
      </c>
      <c r="O7" s="11" t="n">
        <v>0.2575</v>
      </c>
      <c r="P7" s="11" t="n">
        <v>0.2613</v>
      </c>
    </row>
    <row r="8" customFormat="false" ht="15" hidden="false" customHeight="false" outlineLevel="0" collapsed="false">
      <c r="A8" s="10" t="s">
        <v>58</v>
      </c>
      <c r="B8" s="10" t="s">
        <v>59</v>
      </c>
      <c r="C8" s="10" t="s">
        <v>48</v>
      </c>
      <c r="D8" s="10" t="s">
        <v>50</v>
      </c>
      <c r="E8" s="11" t="n">
        <v>0.1367</v>
      </c>
      <c r="F8" s="12" t="n">
        <v>629.8</v>
      </c>
      <c r="G8" s="13" t="n">
        <f aca="false">20^E8</f>
        <v>1.50608956812359</v>
      </c>
      <c r="H8" s="10" t="s">
        <v>50</v>
      </c>
      <c r="I8" s="11" t="n">
        <v>0.152</v>
      </c>
      <c r="J8" s="12" t="n">
        <v>569.66</v>
      </c>
      <c r="K8" s="13" t="n">
        <f aca="false">20^I8</f>
        <v>1.57672719881242</v>
      </c>
      <c r="L8" s="12" t="n">
        <v>60.22</v>
      </c>
      <c r="M8" s="12" t="n">
        <v>48.68</v>
      </c>
      <c r="N8" s="13" t="n">
        <f aca="false">L8/M8</f>
        <v>1.23705834018077</v>
      </c>
      <c r="O8" s="11" t="n">
        <v>0.2888</v>
      </c>
      <c r="P8" s="11" t="n">
        <v>0.2995</v>
      </c>
    </row>
    <row r="9" customFormat="false" ht="15" hidden="false" customHeight="false" outlineLevel="0" collapsed="false">
      <c r="A9" s="10" t="s">
        <v>60</v>
      </c>
      <c r="B9" s="10" t="s">
        <v>61</v>
      </c>
      <c r="C9" s="10" t="s">
        <v>48</v>
      </c>
      <c r="D9" s="10" t="s">
        <v>53</v>
      </c>
      <c r="E9" s="11" t="n">
        <v>0.1388</v>
      </c>
      <c r="F9" s="12" t="n">
        <v>657.11</v>
      </c>
      <c r="G9" s="13" t="n">
        <f aca="false">20^E9</f>
        <v>1.51559430045594</v>
      </c>
      <c r="H9" s="10" t="s">
        <v>50</v>
      </c>
      <c r="I9" s="11" t="n">
        <v>0.1202</v>
      </c>
      <c r="J9" s="12" t="n">
        <v>636.84</v>
      </c>
      <c r="K9" s="13" t="n">
        <f aca="false">20^I9</f>
        <v>1.4334541472827</v>
      </c>
      <c r="L9" s="12" t="n">
        <v>62.96</v>
      </c>
      <c r="M9" s="12" t="n">
        <v>52.51</v>
      </c>
      <c r="N9" s="13" t="n">
        <f aca="false">L9/M9</f>
        <v>1.19900971243573</v>
      </c>
      <c r="O9" s="11" t="n">
        <v>0.2711</v>
      </c>
      <c r="P9" s="11" t="n">
        <v>0.2523</v>
      </c>
    </row>
    <row r="10" customFormat="false" ht="15" hidden="false" customHeight="false" outlineLevel="0" collapsed="false">
      <c r="A10" s="10" t="s">
        <v>62</v>
      </c>
      <c r="B10" s="10" t="s">
        <v>63</v>
      </c>
      <c r="C10" s="10" t="s">
        <v>48</v>
      </c>
      <c r="D10" s="10" t="s">
        <v>64</v>
      </c>
      <c r="E10" s="11" t="n">
        <v>0.1886</v>
      </c>
      <c r="F10" s="12" t="n">
        <v>604.69</v>
      </c>
      <c r="G10" s="13" t="n">
        <f aca="false">20^E10</f>
        <v>1.75943917339941</v>
      </c>
      <c r="H10" s="10" t="s">
        <v>64</v>
      </c>
      <c r="I10" s="11" t="n">
        <v>0.1678</v>
      </c>
      <c r="J10" s="12" t="n">
        <v>587.14</v>
      </c>
      <c r="K10" s="13" t="n">
        <f aca="false">20^I10</f>
        <v>1.65315217666905</v>
      </c>
      <c r="L10" s="12" t="n">
        <v>63.31</v>
      </c>
      <c r="M10" s="12" t="n">
        <v>52.56</v>
      </c>
      <c r="N10" s="13" t="n">
        <f aca="false">L10/M10</f>
        <v>1.20452815829528</v>
      </c>
      <c r="O10" s="11" t="n">
        <v>0.3194</v>
      </c>
      <c r="P10" s="11" t="n">
        <v>0.2967</v>
      </c>
    </row>
    <row r="11" customFormat="false" ht="15" hidden="false" customHeight="false" outlineLevel="0" collapsed="false">
      <c r="A11" s="10" t="s">
        <v>65</v>
      </c>
      <c r="B11" s="10" t="s">
        <v>66</v>
      </c>
      <c r="C11" s="10" t="s">
        <v>48</v>
      </c>
      <c r="D11" s="10" t="s">
        <v>64</v>
      </c>
      <c r="E11" s="11" t="n">
        <v>0.2662</v>
      </c>
      <c r="F11" s="12" t="n">
        <v>565.89</v>
      </c>
      <c r="G11" s="13" t="n">
        <f aca="false">20^E11</f>
        <v>2.21990395452337</v>
      </c>
      <c r="H11" s="10" t="s">
        <v>50</v>
      </c>
      <c r="I11" s="11" t="n">
        <v>0.212</v>
      </c>
      <c r="J11" s="12" t="n">
        <v>619.44</v>
      </c>
      <c r="K11" s="13" t="n">
        <f aca="false">20^I11</f>
        <v>1.88720187376806</v>
      </c>
      <c r="L11" s="12" t="n">
        <v>63.2</v>
      </c>
      <c r="M11" s="12" t="n">
        <v>55.22</v>
      </c>
      <c r="N11" s="13" t="n">
        <f aca="false">L11/M11</f>
        <v>1.14451285766027</v>
      </c>
      <c r="O11" s="11" t="n">
        <v>0.4027</v>
      </c>
      <c r="P11" s="11" t="n">
        <v>0.4088</v>
      </c>
    </row>
    <row r="12" customFormat="false" ht="15" hidden="false" customHeight="false" outlineLevel="0" collapsed="false">
      <c r="A12" s="10" t="s">
        <v>67</v>
      </c>
      <c r="B12" s="10" t="s">
        <v>68</v>
      </c>
      <c r="C12" s="10" t="s">
        <v>69</v>
      </c>
      <c r="D12" s="10" t="s">
        <v>70</v>
      </c>
      <c r="E12" s="11" t="n">
        <v>0.299</v>
      </c>
      <c r="F12" s="12" t="n">
        <v>561.66</v>
      </c>
      <c r="G12" s="13" t="n">
        <f aca="false">20^E12</f>
        <v>2.4491081791828</v>
      </c>
      <c r="H12" s="10" t="s">
        <v>53</v>
      </c>
      <c r="I12" s="11" t="n">
        <v>0.2059</v>
      </c>
      <c r="J12" s="12" t="n">
        <v>618</v>
      </c>
      <c r="K12" s="13" t="n">
        <f aca="false">20^I12</f>
        <v>1.853028402671</v>
      </c>
      <c r="L12" s="12" t="n">
        <v>69.49</v>
      </c>
      <c r="M12" s="12" t="n">
        <v>55.56</v>
      </c>
      <c r="N12" s="13" t="n">
        <f aca="false">L12/M12</f>
        <v>1.25071994240461</v>
      </c>
      <c r="O12" s="11" t="n">
        <v>0.4327</v>
      </c>
      <c r="P12" s="11" t="n">
        <v>0.3874</v>
      </c>
    </row>
    <row r="13" customFormat="false" ht="15" hidden="false" customHeight="false" outlineLevel="0" collapsed="false">
      <c r="A13" s="10" t="s">
        <v>71</v>
      </c>
      <c r="B13" s="10" t="s">
        <v>72</v>
      </c>
      <c r="C13" s="10" t="s">
        <v>69</v>
      </c>
      <c r="D13" s="10" t="s">
        <v>70</v>
      </c>
      <c r="E13" s="11" t="n">
        <v>0.3291</v>
      </c>
      <c r="F13" s="12" t="n">
        <v>725.43</v>
      </c>
      <c r="G13" s="13" t="n">
        <f aca="false">20^E13</f>
        <v>2.68021091546539</v>
      </c>
      <c r="H13" s="10" t="s">
        <v>50</v>
      </c>
      <c r="I13" s="11" t="n">
        <v>0.1508</v>
      </c>
      <c r="J13" s="12" t="n">
        <v>681.91</v>
      </c>
      <c r="K13" s="13" t="n">
        <f aca="false">20^I13</f>
        <v>1.57106923169118</v>
      </c>
      <c r="L13" s="12" t="n">
        <v>122.27</v>
      </c>
      <c r="M13" s="12" t="n">
        <v>57.53</v>
      </c>
      <c r="N13" s="13" t="n">
        <f aca="false">L13/M13</f>
        <v>2.12532591691292</v>
      </c>
      <c r="O13" s="11" t="n">
        <v>0.5362</v>
      </c>
      <c r="P13" s="11" t="n">
        <v>0.2959</v>
      </c>
    </row>
    <row r="14" customFormat="false" ht="15" hidden="false" customHeight="false" outlineLevel="0" collapsed="false">
      <c r="A14" s="10" t="s">
        <v>73</v>
      </c>
      <c r="B14" s="10" t="s">
        <v>74</v>
      </c>
      <c r="C14" s="10" t="s">
        <v>69</v>
      </c>
      <c r="D14" s="10" t="s">
        <v>64</v>
      </c>
      <c r="E14" s="11" t="n">
        <v>0.3336</v>
      </c>
      <c r="F14" s="12" t="n">
        <v>504.32</v>
      </c>
      <c r="G14" s="13" t="n">
        <f aca="false">20^E14</f>
        <v>2.71658692789177</v>
      </c>
      <c r="H14" s="10" t="s">
        <v>64</v>
      </c>
      <c r="I14" s="11" t="n">
        <v>0.2001</v>
      </c>
      <c r="J14" s="12" t="n">
        <v>569.34</v>
      </c>
      <c r="K14" s="13" t="n">
        <f aca="false">20^I14</f>
        <v>1.82110967702061</v>
      </c>
      <c r="L14" s="12" t="n">
        <v>71.59</v>
      </c>
      <c r="M14" s="12" t="n">
        <v>53.79</v>
      </c>
      <c r="N14" s="13" t="n">
        <f aca="false">L14/M14</f>
        <v>1.33091652723555</v>
      </c>
      <c r="O14" s="11" t="n">
        <v>0.431</v>
      </c>
      <c r="P14" s="11" t="n">
        <v>0.3205</v>
      </c>
    </row>
    <row r="15" customFormat="false" ht="15" hidden="false" customHeight="false" outlineLevel="0" collapsed="false">
      <c r="A15" s="10" t="s">
        <v>75</v>
      </c>
      <c r="B15" s="10" t="s">
        <v>76</v>
      </c>
      <c r="C15" s="10" t="s">
        <v>69</v>
      </c>
      <c r="D15" s="10" t="s">
        <v>64</v>
      </c>
      <c r="E15" s="11" t="n">
        <v>0.3428</v>
      </c>
      <c r="F15" s="12" t="n">
        <v>481.05</v>
      </c>
      <c r="G15" s="13" t="n">
        <f aca="false">20^E15</f>
        <v>2.79249936167113</v>
      </c>
      <c r="H15" s="10" t="s">
        <v>77</v>
      </c>
      <c r="I15" s="11" t="n">
        <v>0.1231</v>
      </c>
      <c r="J15" s="12" t="n">
        <v>590.78</v>
      </c>
      <c r="K15" s="13" t="n">
        <f aca="false">20^I15</f>
        <v>1.44596170918043</v>
      </c>
      <c r="L15" s="12" t="n">
        <v>79.83</v>
      </c>
      <c r="M15" s="12" t="n">
        <v>51.37</v>
      </c>
      <c r="N15" s="13" t="n">
        <f aca="false">L15/M15</f>
        <v>1.55401985594705</v>
      </c>
      <c r="O15" s="11" t="n">
        <v>0.486</v>
      </c>
      <c r="P15" s="11" t="n">
        <v>0.233</v>
      </c>
    </row>
    <row r="16" customFormat="false" ht="15" hidden="false" customHeight="false" outlineLevel="0" collapsed="false">
      <c r="A16" s="10" t="s">
        <v>78</v>
      </c>
      <c r="B16" s="10" t="s">
        <v>79</v>
      </c>
      <c r="C16" s="10" t="s">
        <v>69</v>
      </c>
      <c r="D16" s="10" t="s">
        <v>64</v>
      </c>
      <c r="E16" s="11" t="n">
        <v>0.3637</v>
      </c>
      <c r="F16" s="12" t="n">
        <v>510.08</v>
      </c>
      <c r="G16" s="13" t="n">
        <f aca="false">20^E16</f>
        <v>2.97292949279832</v>
      </c>
      <c r="H16" s="10" t="s">
        <v>53</v>
      </c>
      <c r="I16" s="11" t="n">
        <v>0.1317</v>
      </c>
      <c r="J16" s="12" t="n">
        <v>634.22</v>
      </c>
      <c r="K16" s="13" t="n">
        <f aca="false">20^I16</f>
        <v>1.48369847542848</v>
      </c>
      <c r="L16" s="12" t="n">
        <v>86.53</v>
      </c>
      <c r="M16" s="12" t="n">
        <v>53.77</v>
      </c>
      <c r="N16" s="13" t="n">
        <f aca="false">L16/M16</f>
        <v>1.60926167007625</v>
      </c>
      <c r="O16" s="11" t="n">
        <v>0.4944</v>
      </c>
      <c r="P16" s="11" t="n">
        <v>0.2444</v>
      </c>
    </row>
    <row r="17" customFormat="false" ht="15" hidden="false" customHeight="false" outlineLevel="0" collapsed="false">
      <c r="A17" s="14" t="s">
        <v>80</v>
      </c>
      <c r="B17" s="14" t="s">
        <v>81</v>
      </c>
      <c r="C17" s="14" t="s">
        <v>69</v>
      </c>
      <c r="D17" s="14" t="s">
        <v>64</v>
      </c>
      <c r="E17" s="15" t="n">
        <v>0.3724</v>
      </c>
      <c r="F17" s="16" t="n">
        <v>536.6</v>
      </c>
      <c r="G17" s="17" t="n">
        <f aca="false">20^E17</f>
        <v>3.05143111520676</v>
      </c>
      <c r="H17" s="14" t="s">
        <v>64</v>
      </c>
      <c r="I17" s="15" t="n">
        <v>0.1343</v>
      </c>
      <c r="J17" s="16" t="n">
        <v>660.63</v>
      </c>
      <c r="K17" s="17" t="n">
        <f aca="false">20^I17</f>
        <v>1.49529998314893</v>
      </c>
      <c r="L17" s="16" t="n">
        <v>92.61</v>
      </c>
      <c r="M17" s="16" t="n">
        <v>56.1</v>
      </c>
      <c r="N17" s="17" t="n">
        <f aca="false">L17/M17</f>
        <v>1.65080213903743</v>
      </c>
      <c r="O17" s="15" t="n">
        <v>0.5046</v>
      </c>
      <c r="P17" s="15" t="n">
        <v>0.2644</v>
      </c>
    </row>
    <row r="18" customFormat="false" ht="15" hidden="false" customHeight="false" outlineLevel="0" collapsed="false">
      <c r="A18" s="10" t="s">
        <v>82</v>
      </c>
      <c r="B18" s="10" t="s">
        <v>83</v>
      </c>
      <c r="C18" s="10" t="s">
        <v>69</v>
      </c>
      <c r="D18" s="10" t="s">
        <v>64</v>
      </c>
      <c r="E18" s="11" t="n">
        <v>0.4347</v>
      </c>
      <c r="F18" s="12" t="n">
        <v>518.55</v>
      </c>
      <c r="G18" s="13" t="n">
        <f aca="false">20^E18</f>
        <v>3.67754282775414</v>
      </c>
      <c r="H18" s="10" t="s">
        <v>64</v>
      </c>
      <c r="I18" s="11" t="n">
        <v>0.1993</v>
      </c>
      <c r="J18" s="12" t="n">
        <v>578.35</v>
      </c>
      <c r="K18" s="13" t="n">
        <f aca="false">20^I18</f>
        <v>1.8167504571029</v>
      </c>
      <c r="L18" s="12" t="n">
        <v>108.8</v>
      </c>
      <c r="M18" s="12" t="n">
        <v>54.88</v>
      </c>
      <c r="N18" s="13" t="n">
        <f aca="false">L18/M18</f>
        <v>1.98250728862974</v>
      </c>
      <c r="O18" s="11" t="n">
        <v>0.5802</v>
      </c>
      <c r="P18" s="11" t="n">
        <v>0.3196</v>
      </c>
    </row>
    <row r="19" customFormat="false" ht="15" hidden="false" customHeight="false" outlineLevel="0" collapsed="false">
      <c r="A19" s="10" t="s">
        <v>84</v>
      </c>
      <c r="B19" s="10" t="s">
        <v>85</v>
      </c>
      <c r="C19" s="10" t="s">
        <v>69</v>
      </c>
      <c r="D19" s="10" t="s">
        <v>64</v>
      </c>
      <c r="E19" s="11" t="n">
        <v>0.4444</v>
      </c>
      <c r="F19" s="12" t="n">
        <v>426.13</v>
      </c>
      <c r="G19" s="13" t="n">
        <f aca="false">20^E19</f>
        <v>3.78597489731409</v>
      </c>
      <c r="H19" s="10" t="s">
        <v>64</v>
      </c>
      <c r="I19" s="11" t="n">
        <v>0.1886</v>
      </c>
      <c r="J19" s="12" t="n">
        <v>525.43</v>
      </c>
      <c r="K19" s="13" t="n">
        <f aca="false">20^I19</f>
        <v>1.75943917339941</v>
      </c>
      <c r="L19" s="12" t="n">
        <v>90.14</v>
      </c>
      <c r="M19" s="12" t="n">
        <v>50.4</v>
      </c>
      <c r="N19" s="13" t="n">
        <f aca="false">L19/M19</f>
        <v>1.78849206349206</v>
      </c>
      <c r="O19" s="11" t="n">
        <v>0.544</v>
      </c>
      <c r="P19" s="11" t="n">
        <v>0.2628</v>
      </c>
    </row>
    <row r="20" customFormat="false" ht="15" hidden="false" customHeight="false" outlineLevel="0" collapsed="false">
      <c r="A20" s="10" t="s">
        <v>86</v>
      </c>
      <c r="B20" s="10" t="s">
        <v>87</v>
      </c>
      <c r="C20" s="10" t="s">
        <v>69</v>
      </c>
      <c r="D20" s="10" t="s">
        <v>64</v>
      </c>
      <c r="E20" s="11" t="n">
        <v>0.4451</v>
      </c>
      <c r="F20" s="12" t="n">
        <v>532.6</v>
      </c>
      <c r="G20" s="13" t="n">
        <f aca="false">20^E20</f>
        <v>3.79392246450663</v>
      </c>
      <c r="H20" s="10" t="s">
        <v>64</v>
      </c>
      <c r="I20" s="11" t="n">
        <v>0.1137</v>
      </c>
      <c r="J20" s="12" t="n">
        <v>646.6</v>
      </c>
      <c r="K20" s="13" t="n">
        <f aca="false">20^I20</f>
        <v>1.40581156098604</v>
      </c>
      <c r="L20" s="12" t="n">
        <v>119.94</v>
      </c>
      <c r="M20" s="12" t="n">
        <v>54.29</v>
      </c>
      <c r="N20" s="13" t="n">
        <f aca="false">L20/M20</f>
        <v>2.20924663842328</v>
      </c>
      <c r="O20" s="11" t="n">
        <v>0.5413</v>
      </c>
      <c r="P20" s="11" t="n">
        <v>0.2271</v>
      </c>
    </row>
    <row r="21" customFormat="false" ht="15" hidden="false" customHeight="false" outlineLevel="0" collapsed="false">
      <c r="A21" s="10" t="s">
        <v>88</v>
      </c>
      <c r="B21" s="10" t="s">
        <v>89</v>
      </c>
      <c r="C21" s="10" t="s">
        <v>69</v>
      </c>
      <c r="D21" s="10" t="s">
        <v>64</v>
      </c>
      <c r="E21" s="11" t="n">
        <v>0.4748</v>
      </c>
      <c r="F21" s="12" t="n">
        <v>449.98</v>
      </c>
      <c r="G21" s="13" t="n">
        <f aca="false">20^E21</f>
        <v>4.1469523189771</v>
      </c>
      <c r="H21" s="10" t="s">
        <v>50</v>
      </c>
      <c r="I21" s="11" t="n">
        <v>0.1294</v>
      </c>
      <c r="J21" s="12" t="n">
        <v>619.06</v>
      </c>
      <c r="K21" s="13" t="n">
        <f aca="false">20^I21</f>
        <v>1.47351065786739</v>
      </c>
      <c r="L21" s="12" t="n">
        <v>105.01</v>
      </c>
      <c r="M21" s="12" t="n">
        <v>52.06</v>
      </c>
      <c r="N21" s="13" t="n">
        <f aca="false">L21/M21</f>
        <v>2.01709565885517</v>
      </c>
      <c r="O21" s="11" t="n">
        <v>0.5714</v>
      </c>
      <c r="P21" s="11" t="n">
        <v>0.2545</v>
      </c>
    </row>
    <row r="22" customFormat="false" ht="15" hidden="false" customHeight="false" outlineLevel="0" collapsed="false">
      <c r="A22" s="10" t="s">
        <v>90</v>
      </c>
      <c r="B22" s="10" t="s">
        <v>91</v>
      </c>
      <c r="C22" s="10" t="s">
        <v>69</v>
      </c>
      <c r="D22" s="10" t="s">
        <v>64</v>
      </c>
      <c r="E22" s="11" t="n">
        <v>0.4759</v>
      </c>
      <c r="F22" s="12" t="n">
        <v>436.14</v>
      </c>
      <c r="G22" s="13" t="n">
        <f aca="false">20^E22</f>
        <v>4.16064033447566</v>
      </c>
      <c r="H22" s="10" t="s">
        <v>53</v>
      </c>
      <c r="I22" s="11" t="n">
        <v>0.1497</v>
      </c>
      <c r="J22" s="12" t="n">
        <v>594.28</v>
      </c>
      <c r="K22" s="13" t="n">
        <f aca="false">20^I22</f>
        <v>1.56590059939809</v>
      </c>
      <c r="L22" s="12" t="n">
        <v>100.77</v>
      </c>
      <c r="M22" s="12" t="n">
        <v>52.07</v>
      </c>
      <c r="N22" s="13" t="n">
        <f aca="false">L22/M22</f>
        <v>1.93527943153447</v>
      </c>
      <c r="O22" s="11" t="n">
        <v>0.5666</v>
      </c>
      <c r="P22" s="11" t="n">
        <v>0.2598</v>
      </c>
    </row>
    <row r="23" customFormat="false" ht="15" hidden="false" customHeight="false" outlineLevel="0" collapsed="false">
      <c r="A23" s="10" t="s">
        <v>92</v>
      </c>
      <c r="B23" s="10" t="s">
        <v>93</v>
      </c>
      <c r="C23" s="10" t="s">
        <v>69</v>
      </c>
      <c r="D23" s="10" t="s">
        <v>64</v>
      </c>
      <c r="E23" s="11" t="n">
        <v>0.4956</v>
      </c>
      <c r="F23" s="12" t="n">
        <v>393.99</v>
      </c>
      <c r="G23" s="13" t="n">
        <f aca="false">20^E23</f>
        <v>4.41357454153387</v>
      </c>
      <c r="H23" s="10" t="s">
        <v>64</v>
      </c>
      <c r="I23" s="11" t="n">
        <v>0.2475</v>
      </c>
      <c r="J23" s="12" t="n">
        <v>468.62</v>
      </c>
      <c r="K23" s="13" t="n">
        <f aca="false">20^I23</f>
        <v>2.0989636810362</v>
      </c>
      <c r="L23" s="12" t="n">
        <v>92.96</v>
      </c>
      <c r="M23" s="12" t="n">
        <v>50.58</v>
      </c>
      <c r="N23" s="13" t="n">
        <f aca="false">L23/M23</f>
        <v>1.83788058521155</v>
      </c>
      <c r="O23" s="11" t="n">
        <v>0.5586</v>
      </c>
      <c r="P23" s="11" t="n">
        <v>0.311</v>
      </c>
    </row>
    <row r="24" customFormat="false" ht="15" hidden="false" customHeight="false" outlineLevel="0" collapsed="false">
      <c r="A24" s="10" t="s">
        <v>94</v>
      </c>
      <c r="B24" s="10" t="s">
        <v>95</v>
      </c>
      <c r="C24" s="10" t="s">
        <v>69</v>
      </c>
      <c r="D24" s="10" t="s">
        <v>64</v>
      </c>
      <c r="E24" s="11" t="n">
        <v>0.5149</v>
      </c>
      <c r="F24" s="12" t="n">
        <v>441.67</v>
      </c>
      <c r="G24" s="13" t="n">
        <f aca="false">20^E24</f>
        <v>4.67627824918406</v>
      </c>
      <c r="H24" s="10" t="s">
        <v>64</v>
      </c>
      <c r="I24" s="11" t="n">
        <v>0.2418</v>
      </c>
      <c r="J24" s="12" t="n">
        <v>518.35</v>
      </c>
      <c r="K24" s="13" t="n">
        <f aca="false">20^I24</f>
        <v>2.0634267337099</v>
      </c>
      <c r="L24" s="12" t="n">
        <v>107.55</v>
      </c>
      <c r="M24" s="12" t="n">
        <v>53.71</v>
      </c>
      <c r="N24" s="13" t="n">
        <f aca="false">L24/M24</f>
        <v>2.00242040588345</v>
      </c>
      <c r="O24" s="11" t="n">
        <v>0.5687</v>
      </c>
      <c r="P24" s="11" t="n">
        <v>0.3104</v>
      </c>
    </row>
    <row r="25" customFormat="false" ht="15" hidden="false" customHeight="false" outlineLevel="0" collapsed="false">
      <c r="A25" s="10" t="s">
        <v>96</v>
      </c>
      <c r="B25" s="10" t="s">
        <v>97</v>
      </c>
      <c r="C25" s="10" t="s">
        <v>69</v>
      </c>
      <c r="D25" s="10" t="s">
        <v>64</v>
      </c>
      <c r="E25" s="11" t="n">
        <v>0.5334</v>
      </c>
      <c r="F25" s="12" t="n">
        <v>349.33</v>
      </c>
      <c r="G25" s="13" t="n">
        <f aca="false">20^E25</f>
        <v>4.94275859169741</v>
      </c>
      <c r="H25" s="10" t="s">
        <v>64</v>
      </c>
      <c r="I25" s="11" t="n">
        <v>0.2715</v>
      </c>
      <c r="J25" s="12" t="n">
        <v>439.23</v>
      </c>
      <c r="K25" s="13" t="n">
        <f aca="false">20^I25</f>
        <v>2.25543151143716</v>
      </c>
      <c r="L25" s="12" t="n">
        <v>88.31</v>
      </c>
      <c r="M25" s="12" t="n">
        <v>50.02</v>
      </c>
      <c r="N25" s="13" t="n">
        <f aca="false">L25/M25</f>
        <v>1.76549380247901</v>
      </c>
      <c r="O25" s="11" t="n">
        <v>0.5669</v>
      </c>
      <c r="P25" s="11" t="n">
        <v>0.3349</v>
      </c>
    </row>
    <row r="27" customFormat="false" ht="15" hidden="false" customHeight="false" outlineLevel="0" collapsed="false">
      <c r="B27" s="4" t="s">
        <v>98</v>
      </c>
    </row>
    <row r="28" customFormat="false" ht="15" hidden="false" customHeight="false" outlineLevel="0" collapsed="false">
      <c r="B28" s="18" t="s">
        <v>99</v>
      </c>
      <c r="E28" s="19" t="n">
        <f aca="false">AVERAGE(E4:E25)</f>
        <v>0.317440909090909</v>
      </c>
      <c r="F28" s="20" t="n">
        <f aca="false">AVERAGE(F4:F25)</f>
        <v>545.947272727273</v>
      </c>
      <c r="G28" s="13" t="n">
        <f aca="false">AVERAGE(G4:G25)</f>
        <v>2.84737220323004</v>
      </c>
      <c r="I28" s="19" t="n">
        <f aca="false">AVERAGE(I4:I25)</f>
        <v>0.166659090909091</v>
      </c>
      <c r="J28" s="20" t="n">
        <f aca="false">AVERAGE(J4:J25)</f>
        <v>585.800454545455</v>
      </c>
      <c r="K28" s="13" t="n">
        <f aca="false">AVERAGE(K4:K25)</f>
        <v>1.6638206641772</v>
      </c>
      <c r="N28" s="13" t="n">
        <f aca="false">AVERAGE(N4:N25)</f>
        <v>1.5855138142969</v>
      </c>
      <c r="O28" s="19" t="n">
        <f aca="false">AVERAGE(O4:O25)</f>
        <v>0.437854545454545</v>
      </c>
      <c r="P28" s="19" t="n">
        <f aca="false">AVERAGE(P4:P25)</f>
        <v>0.283918181818182</v>
      </c>
    </row>
    <row r="29" customFormat="false" ht="15" hidden="false" customHeight="false" outlineLevel="0" collapsed="false">
      <c r="B29" s="18" t="s">
        <v>100</v>
      </c>
      <c r="E29" s="19" t="n">
        <f aca="false">STDEV(E4:E25)</f>
        <v>0.153806862993483</v>
      </c>
      <c r="F29" s="20" t="n">
        <f aca="false">STDEV(F4:F25)</f>
        <v>106.154256321002</v>
      </c>
      <c r="G29" s="13" t="n">
        <f aca="false">STDEV(G4:G25)</f>
        <v>1.20573196055153</v>
      </c>
      <c r="I29" s="19" t="n">
        <f aca="false">STDEV(I4:I25)</f>
        <v>0.0472020243622676</v>
      </c>
      <c r="J29" s="20" t="n">
        <f aca="false">STDEV(J4:J25)</f>
        <v>58.384973154569</v>
      </c>
      <c r="K29" s="13" t="n">
        <f aca="false">STDEV(K4:K25)</f>
        <v>0.247047215483517</v>
      </c>
      <c r="N29" s="13" t="n">
        <f aca="false">STDEV(N4:N25)</f>
        <v>0.357394093413208</v>
      </c>
      <c r="O29" s="19" t="n">
        <f aca="false">STDEV(O4:O25)</f>
        <v>0.131843148971556</v>
      </c>
      <c r="P29" s="19" t="n">
        <f aca="false">STDEV(P4:P25)</f>
        <v>0.0503188465720978</v>
      </c>
    </row>
    <row r="30" customFormat="false" ht="15" hidden="false" customHeight="false" outlineLevel="0" collapsed="false">
      <c r="B30" s="18" t="s">
        <v>101</v>
      </c>
      <c r="E30" s="19" t="n">
        <f aca="false">AVERAGEIFS(E4:E25,$C$4:$C$25,"Vale do Juruá")</f>
        <v>0.1405375</v>
      </c>
      <c r="F30" s="20" t="n">
        <f aca="false">AVERAGEIFS(F4:F25,$C$4:$C$25,"Vale do Juruá")</f>
        <v>642.91375</v>
      </c>
      <c r="G30" s="13" t="n">
        <f aca="false">AVERAGEIFS(G4:G25,$C$4:$C$25,"Vale do Juruá")</f>
        <v>1.54772228167521</v>
      </c>
      <c r="I30" s="19" t="n">
        <f aca="false">AVERAGEIFS(I4:I25,$C$4:$C$25,"Vale do Juruá")</f>
        <v>0.1473875</v>
      </c>
      <c r="J30" s="20" t="n">
        <f aca="false">AVERAGEIFS(J4:J25,$C$4:$C$25,"Vale do Juruá")</f>
        <v>592.85125</v>
      </c>
      <c r="K30" s="13" t="n">
        <f aca="false">AVERAGEIFS(K4:K25,$C$4:$C$25,"Vale do Juruá")</f>
        <v>1.56183159472757</v>
      </c>
      <c r="N30" s="13" t="n">
        <f aca="false">AVERAGEIFS(N4:N25,$C$4:$C$25,"Vale do Juruá")</f>
        <v>1.22773024855117</v>
      </c>
      <c r="O30" s="19" t="n">
        <f aca="false">AVERAGEIFS(O4:O25,$C$4:$C$25,"Vale do Juruá")</f>
        <v>0.281275</v>
      </c>
      <c r="P30" s="19" t="n">
        <f aca="false">AVERAGEIFS(P4:P25,$C$4:$C$25,"Vale do Juruá")</f>
        <v>0.2775625</v>
      </c>
    </row>
    <row r="31" customFormat="false" ht="15" hidden="false" customHeight="false" outlineLevel="0" collapsed="false">
      <c r="B31" s="18" t="s">
        <v>102</v>
      </c>
      <c r="E31" s="19" t="n">
        <f aca="false">AVERAGEIFS(E4:E25,$C$4:$C$25,"Vale do Acre")</f>
        <v>0.418528571428571</v>
      </c>
      <c r="F31" s="20" t="n">
        <f aca="false">AVERAGEIFS(F4:F25,$C$4:$C$25,"Vale do Acre")</f>
        <v>490.537857142857</v>
      </c>
      <c r="G31" s="13" t="n">
        <f aca="false">AVERAGEIFS(G4:G25,$C$4:$C$25,"Vale do Acre")</f>
        <v>3.59002930126137</v>
      </c>
      <c r="I31" s="19" t="n">
        <f aca="false">AVERAGEIFS(I4:I25,$C$4:$C$25,"Vale do Acre")</f>
        <v>0.177671428571429</v>
      </c>
      <c r="J31" s="20" t="n">
        <f aca="false">AVERAGEIFS(J4:J25,$C$4:$C$25,"Vale do Acre")</f>
        <v>581.771428571429</v>
      </c>
      <c r="K31" s="13" t="n">
        <f aca="false">AVERAGEIFS(K4:K25,$C$4:$C$25,"Vale do Acre")</f>
        <v>1.72210013243412</v>
      </c>
      <c r="N31" s="13" t="n">
        <f aca="false">AVERAGEIFS(N4:N25,$C$4:$C$25,"Vale do Acre")</f>
        <v>1.78996156615161</v>
      </c>
      <c r="O31" s="19" t="n">
        <f aca="false">AVERAGEIFS(O4:O25,$C$4:$C$25,"Vale do Acre")</f>
        <v>0.527328571428572</v>
      </c>
      <c r="P31" s="19" t="n">
        <f aca="false">AVERAGEIFS(P4:P25,$C$4:$C$25,"Vale do Acre")</f>
        <v>0.28755</v>
      </c>
    </row>
    <row r="32" customFormat="false" ht="15" hidden="false" customHeight="false" outlineLevel="0" collapsed="false">
      <c r="B32" s="18" t="s">
        <v>103</v>
      </c>
      <c r="N32" s="21" t="n">
        <f aca="false">COUNTIF(N4:N25,"&gt;1.3")</f>
        <v>14</v>
      </c>
    </row>
    <row r="34" customFormat="false" ht="15" hidden="false" customHeight="false" outlineLevel="0" collapsed="false">
      <c r="A34" s="2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"/>
    <col collapsed="false" customWidth="true" hidden="false" outlineLevel="0" max="7" min="7" style="0" width="3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105</v>
      </c>
    </row>
    <row r="3" customFormat="false" ht="26.85" hidden="false" customHeight="false" outlineLevel="0" collapsed="false">
      <c r="A3" s="9" t="s">
        <v>106</v>
      </c>
      <c r="B3" s="9" t="s">
        <v>81</v>
      </c>
      <c r="C3" s="9" t="s">
        <v>97</v>
      </c>
      <c r="D3" s="9" t="s">
        <v>55</v>
      </c>
      <c r="E3" s="9" t="s">
        <v>59</v>
      </c>
      <c r="G3" s="23" t="s">
        <v>107</v>
      </c>
      <c r="H3" s="24" t="s">
        <v>81</v>
      </c>
      <c r="I3" s="24" t="s">
        <v>97</v>
      </c>
      <c r="J3" s="24" t="s">
        <v>55</v>
      </c>
      <c r="K3" s="24" t="s">
        <v>59</v>
      </c>
    </row>
    <row r="4" customFormat="false" ht="15" hidden="false" customHeight="false" outlineLevel="0" collapsed="false">
      <c r="A4" s="10" t="s">
        <v>108</v>
      </c>
      <c r="B4" s="25" t="n">
        <v>154.6</v>
      </c>
      <c r="C4" s="25" t="n">
        <v>135</v>
      </c>
      <c r="D4" s="25" t="n">
        <v>61.2</v>
      </c>
      <c r="E4" s="25" t="n">
        <v>53.8</v>
      </c>
      <c r="G4" s="18" t="s">
        <v>109</v>
      </c>
      <c r="H4" s="20" t="n">
        <f aca="false">AVERAGE(B4:B23)</f>
        <v>92.615</v>
      </c>
      <c r="I4" s="20" t="n">
        <f aca="false">AVERAGE(C4:C23)</f>
        <v>88.3</v>
      </c>
      <c r="J4" s="20" t="n">
        <f aca="false">AVERAGE(D4:D23)</f>
        <v>62.455</v>
      </c>
      <c r="K4" s="20" t="n">
        <f aca="false">AVERAGE(E4:E23)</f>
        <v>60.225</v>
      </c>
    </row>
    <row r="5" customFormat="false" ht="15" hidden="false" customHeight="false" outlineLevel="0" collapsed="false">
      <c r="A5" s="10" t="s">
        <v>110</v>
      </c>
      <c r="B5" s="25" t="n">
        <v>177.9</v>
      </c>
      <c r="C5" s="25" t="n">
        <v>155.2</v>
      </c>
      <c r="D5" s="25" t="n">
        <v>64</v>
      </c>
      <c r="E5" s="25" t="n">
        <v>54.3</v>
      </c>
      <c r="G5" s="18" t="s">
        <v>111</v>
      </c>
      <c r="H5" s="20" t="n">
        <f aca="false">AVERAGE(B24:B43)</f>
        <v>52.83</v>
      </c>
      <c r="I5" s="20" t="n">
        <f aca="false">AVERAGE(C24:C43)</f>
        <v>43.6</v>
      </c>
      <c r="J5" s="20" t="n">
        <f aca="false">AVERAGE(D24:D43)</f>
        <v>49.315</v>
      </c>
      <c r="K5" s="20" t="n">
        <f aca="false">AVERAGE(E24:E43)</f>
        <v>42.355</v>
      </c>
    </row>
    <row r="6" customFormat="false" ht="15" hidden="false" customHeight="false" outlineLevel="0" collapsed="false">
      <c r="A6" s="10" t="s">
        <v>112</v>
      </c>
      <c r="B6" s="25" t="n">
        <v>138.9</v>
      </c>
      <c r="C6" s="25" t="n">
        <v>142.4</v>
      </c>
      <c r="D6" s="25" t="n">
        <v>65.9</v>
      </c>
      <c r="E6" s="25" t="n">
        <v>70.7</v>
      </c>
      <c r="G6" s="18" t="s">
        <v>113</v>
      </c>
      <c r="H6" s="20" t="n">
        <f aca="false">AVERAGE(B44:B68)</f>
        <v>58.724</v>
      </c>
      <c r="I6" s="20" t="n">
        <f aca="false">AVERAGE(C44:C68)</f>
        <v>55.156</v>
      </c>
      <c r="J6" s="20" t="n">
        <f aca="false">AVERAGE(D44:D68)</f>
        <v>46.208</v>
      </c>
      <c r="K6" s="20" t="n">
        <f aca="false">AVERAGE(E44:E68)</f>
        <v>53.736</v>
      </c>
    </row>
    <row r="7" customFormat="false" ht="15" hidden="false" customHeight="false" outlineLevel="0" collapsed="false">
      <c r="A7" s="10" t="s">
        <v>114</v>
      </c>
      <c r="B7" s="25" t="n">
        <v>149.3</v>
      </c>
      <c r="C7" s="25" t="n">
        <v>152.2</v>
      </c>
      <c r="D7" s="25" t="n">
        <v>76.3</v>
      </c>
      <c r="E7" s="25" t="n">
        <v>79.1</v>
      </c>
      <c r="G7" s="18" t="s">
        <v>115</v>
      </c>
      <c r="H7" s="19" t="n">
        <f aca="false">STDEV(B4:B23)/AVERAGE(B4:B23)</f>
        <v>0.529801795415351</v>
      </c>
      <c r="I7" s="19" t="n">
        <f aca="false">STDEV(C4:C23)/AVERAGE(C4:C23)</f>
        <v>0.556526614131232</v>
      </c>
      <c r="J7" s="19" t="n">
        <f aca="false">STDEV(D4:D23)/AVERAGE(D4:D23)</f>
        <v>0.195433511467311</v>
      </c>
      <c r="K7" s="19" t="n">
        <f aca="false">STDEV(E4:E23)/AVERAGE(E4:E23)</f>
        <v>0.220962921610308</v>
      </c>
    </row>
    <row r="8" customFormat="false" ht="15" hidden="false" customHeight="false" outlineLevel="0" collapsed="false">
      <c r="A8" s="10" t="s">
        <v>116</v>
      </c>
      <c r="B8" s="25" t="n">
        <v>119.3</v>
      </c>
      <c r="C8" s="25" t="n">
        <v>112.4</v>
      </c>
      <c r="D8" s="25" t="n">
        <v>49.9</v>
      </c>
      <c r="E8" s="25" t="n">
        <v>56.7</v>
      </c>
      <c r="G8" s="18" t="s">
        <v>45</v>
      </c>
      <c r="H8" s="19" t="n">
        <f aca="false">STDEV(B24:B68)/AVERAGE(B24:B68)</f>
        <v>0.264207229106681</v>
      </c>
      <c r="I8" s="19" t="n">
        <f aca="false">STDEV(C24:C68)/AVERAGE(C24:C68)</f>
        <v>0.334919786253122</v>
      </c>
      <c r="J8" s="19" t="n">
        <f aca="false">STDEV(D24:D68)/AVERAGE(D24:D68)</f>
        <v>0.255935800363495</v>
      </c>
      <c r="K8" s="19" t="n">
        <f aca="false">STDEV(E24:E68)/AVERAGE(E24:E68)</f>
        <v>0.29957695099092</v>
      </c>
    </row>
    <row r="9" customFormat="false" ht="15" hidden="false" customHeight="false" outlineLevel="0" collapsed="false">
      <c r="A9" s="10" t="s">
        <v>117</v>
      </c>
      <c r="B9" s="25" t="n">
        <v>147.5</v>
      </c>
      <c r="C9" s="25" t="n">
        <v>154.9</v>
      </c>
      <c r="D9" s="25" t="n">
        <v>90.9</v>
      </c>
      <c r="E9" s="25" t="n">
        <v>94.9</v>
      </c>
      <c r="G9" s="18" t="s">
        <v>118</v>
      </c>
      <c r="H9" s="20" t="n">
        <f aca="false">MAX(B4:B23)</f>
        <v>177.9</v>
      </c>
      <c r="I9" s="20" t="n">
        <f aca="false">MAX(C4:C23)</f>
        <v>179.9</v>
      </c>
      <c r="J9" s="20" t="n">
        <f aca="false">MAX(D4:D23)</f>
        <v>90.9</v>
      </c>
      <c r="K9" s="20" t="n">
        <f aca="false">MAX(E4:E23)</f>
        <v>94.9</v>
      </c>
    </row>
    <row r="10" customFormat="false" ht="15" hidden="false" customHeight="false" outlineLevel="0" collapsed="false">
      <c r="A10" s="10" t="s">
        <v>119</v>
      </c>
      <c r="B10" s="25" t="n">
        <v>176.5</v>
      </c>
      <c r="C10" s="25" t="n">
        <v>179.9</v>
      </c>
      <c r="D10" s="25" t="n">
        <v>76.4</v>
      </c>
      <c r="E10" s="25" t="n">
        <v>85.3</v>
      </c>
      <c r="G10" s="18" t="s">
        <v>120</v>
      </c>
      <c r="H10" s="20" t="n">
        <f aca="false">MAX(B24:B68)</f>
        <v>99.6</v>
      </c>
      <c r="I10" s="20" t="n">
        <f aca="false">MAX(C24:C68)</f>
        <v>117.2</v>
      </c>
      <c r="J10" s="20" t="n">
        <f aca="false">MAX(D24:D68)</f>
        <v>80</v>
      </c>
      <c r="K10" s="20" t="n">
        <f aca="false">MAX(E24:E68)</f>
        <v>102.6</v>
      </c>
    </row>
    <row r="11" customFormat="false" ht="15" hidden="false" customHeight="false" outlineLevel="0" collapsed="false">
      <c r="A11" s="10" t="s">
        <v>121</v>
      </c>
      <c r="B11" s="25" t="n">
        <v>114.3</v>
      </c>
      <c r="C11" s="25" t="n">
        <v>116.1</v>
      </c>
      <c r="D11" s="25" t="n">
        <v>61.1</v>
      </c>
      <c r="E11" s="25" t="n">
        <v>70.7</v>
      </c>
    </row>
    <row r="12" customFormat="false" ht="15" hidden="false" customHeight="false" outlineLevel="0" collapsed="false">
      <c r="A12" s="10" t="s">
        <v>122</v>
      </c>
      <c r="B12" s="25" t="n">
        <v>86.6</v>
      </c>
      <c r="C12" s="25" t="n">
        <v>83.3</v>
      </c>
      <c r="D12" s="25" t="n">
        <v>55.3</v>
      </c>
      <c r="E12" s="25" t="n">
        <v>56.7</v>
      </c>
      <c r="G12" s="18" t="s">
        <v>123</v>
      </c>
      <c r="H12" s="21" t="n">
        <f aca="false">SUMPRODUCT((B4:B10&gt;=LARGE(B4:B68,5))*1)</f>
        <v>5</v>
      </c>
      <c r="I12" s="21" t="n">
        <f aca="false">SUMPRODUCT((C4:C10&gt;=LARGE(C4:C68,5))*1)</f>
        <v>5</v>
      </c>
      <c r="J12" s="21" t="n">
        <f aca="false">SUMPRODUCT((D4:D10&gt;=LARGE(D4:D68,5))*1)</f>
        <v>3</v>
      </c>
      <c r="K12" s="21" t="n">
        <f aca="false">SUMPRODUCT((E4:E10&gt;=LARGE(E4:E68,5))*1)</f>
        <v>3</v>
      </c>
    </row>
    <row r="13" customFormat="false" ht="15" hidden="false" customHeight="false" outlineLevel="0" collapsed="false">
      <c r="A13" s="10" t="s">
        <v>124</v>
      </c>
      <c r="B13" s="25" t="n">
        <v>61.4</v>
      </c>
      <c r="C13" s="25" t="n">
        <v>61.2</v>
      </c>
      <c r="D13" s="25" t="n">
        <v>62</v>
      </c>
      <c r="E13" s="25" t="n">
        <v>53.6</v>
      </c>
    </row>
    <row r="14" customFormat="false" ht="15" hidden="false" customHeight="false" outlineLevel="0" collapsed="false">
      <c r="A14" s="10" t="s">
        <v>125</v>
      </c>
      <c r="B14" s="25" t="n">
        <v>53</v>
      </c>
      <c r="C14" s="25" t="n">
        <v>44.6</v>
      </c>
      <c r="D14" s="25" t="n">
        <v>67</v>
      </c>
      <c r="E14" s="25" t="n">
        <v>51.7</v>
      </c>
      <c r="G14" s="22" t="s">
        <v>126</v>
      </c>
    </row>
    <row r="15" customFormat="false" ht="15" hidden="false" customHeight="false" outlineLevel="0" collapsed="false">
      <c r="A15" s="10" t="s">
        <v>127</v>
      </c>
      <c r="B15" s="25" t="n">
        <v>57.2</v>
      </c>
      <c r="C15" s="25" t="n">
        <v>56.8</v>
      </c>
      <c r="D15" s="25" t="n">
        <v>66.7</v>
      </c>
      <c r="E15" s="25" t="n">
        <v>58.7</v>
      </c>
    </row>
    <row r="16" customFormat="false" ht="15" hidden="false" customHeight="false" outlineLevel="0" collapsed="false">
      <c r="A16" s="10" t="s">
        <v>128</v>
      </c>
      <c r="B16" s="25" t="n">
        <v>36</v>
      </c>
      <c r="C16" s="25" t="n">
        <v>38.8</v>
      </c>
      <c r="D16" s="25" t="n">
        <v>76.2</v>
      </c>
      <c r="E16" s="25" t="n">
        <v>58.7</v>
      </c>
    </row>
    <row r="17" customFormat="false" ht="15" hidden="false" customHeight="false" outlineLevel="0" collapsed="false">
      <c r="A17" s="10" t="s">
        <v>129</v>
      </c>
      <c r="B17" s="25" t="n">
        <v>45.1</v>
      </c>
      <c r="C17" s="25" t="n">
        <v>40.6</v>
      </c>
      <c r="D17" s="25" t="n">
        <v>66.7</v>
      </c>
      <c r="E17" s="25" t="n">
        <v>59.3</v>
      </c>
    </row>
    <row r="18" customFormat="false" ht="15" hidden="false" customHeight="false" outlineLevel="0" collapsed="false">
      <c r="A18" s="10" t="s">
        <v>130</v>
      </c>
      <c r="B18" s="25" t="n">
        <v>70.8</v>
      </c>
      <c r="C18" s="25" t="n">
        <v>58.1</v>
      </c>
      <c r="D18" s="25" t="n">
        <v>45.1</v>
      </c>
      <c r="E18" s="25" t="n">
        <v>47.5</v>
      </c>
    </row>
    <row r="19" customFormat="false" ht="15" hidden="false" customHeight="false" outlineLevel="0" collapsed="false">
      <c r="A19" s="10" t="s">
        <v>131</v>
      </c>
      <c r="B19" s="25" t="n">
        <v>64.5</v>
      </c>
      <c r="C19" s="25" t="n">
        <v>49.6</v>
      </c>
      <c r="D19" s="25" t="n">
        <v>65.7</v>
      </c>
      <c r="E19" s="25" t="n">
        <v>55.2</v>
      </c>
    </row>
    <row r="20" customFormat="false" ht="15" hidden="false" customHeight="false" outlineLevel="0" collapsed="false">
      <c r="A20" s="10" t="s">
        <v>132</v>
      </c>
      <c r="B20" s="25" t="n">
        <v>52.7</v>
      </c>
      <c r="C20" s="25" t="n">
        <v>51.4</v>
      </c>
      <c r="D20" s="25" t="n">
        <v>47.7</v>
      </c>
      <c r="E20" s="25" t="n">
        <v>52.3</v>
      </c>
    </row>
    <row r="21" customFormat="false" ht="15" hidden="false" customHeight="false" outlineLevel="0" collapsed="false">
      <c r="A21" s="10" t="s">
        <v>133</v>
      </c>
      <c r="B21" s="25" t="n">
        <v>58.4</v>
      </c>
      <c r="C21" s="25" t="n">
        <v>52.7</v>
      </c>
      <c r="D21" s="25" t="n">
        <v>43.6</v>
      </c>
      <c r="E21" s="25" t="n">
        <v>48.1</v>
      </c>
    </row>
    <row r="22" customFormat="false" ht="15" hidden="false" customHeight="false" outlineLevel="0" collapsed="false">
      <c r="A22" s="10" t="s">
        <v>134</v>
      </c>
      <c r="B22" s="25" t="n">
        <v>47.1</v>
      </c>
      <c r="C22" s="25" t="n">
        <v>43.7</v>
      </c>
      <c r="D22" s="25" t="n">
        <v>45.8</v>
      </c>
      <c r="E22" s="25" t="n">
        <v>42.8</v>
      </c>
    </row>
    <row r="23" customFormat="false" ht="15" hidden="false" customHeight="false" outlineLevel="0" collapsed="false">
      <c r="A23" s="10" t="s">
        <v>135</v>
      </c>
      <c r="B23" s="25" t="n">
        <v>41.2</v>
      </c>
      <c r="C23" s="25" t="n">
        <v>37.1</v>
      </c>
      <c r="D23" s="25" t="n">
        <v>61.6</v>
      </c>
      <c r="E23" s="25" t="n">
        <v>54.4</v>
      </c>
    </row>
    <row r="24" customFormat="false" ht="15" hidden="false" customHeight="false" outlineLevel="0" collapsed="false">
      <c r="A24" s="10" t="s">
        <v>136</v>
      </c>
      <c r="B24" s="12" t="n">
        <v>40.7</v>
      </c>
      <c r="C24" s="12" t="n">
        <v>39.4</v>
      </c>
      <c r="D24" s="12" t="n">
        <v>36.2</v>
      </c>
      <c r="E24" s="12" t="n">
        <v>30.5</v>
      </c>
    </row>
    <row r="25" customFormat="false" ht="15" hidden="false" customHeight="false" outlineLevel="0" collapsed="false">
      <c r="A25" s="10" t="s">
        <v>137</v>
      </c>
      <c r="B25" s="12" t="n">
        <v>38.6</v>
      </c>
      <c r="C25" s="12" t="n">
        <v>38.7</v>
      </c>
      <c r="D25" s="12" t="n">
        <v>60.1</v>
      </c>
      <c r="E25" s="12" t="n">
        <v>47.2</v>
      </c>
    </row>
    <row r="26" customFormat="false" ht="15" hidden="false" customHeight="false" outlineLevel="0" collapsed="false">
      <c r="A26" s="10" t="s">
        <v>138</v>
      </c>
      <c r="B26" s="12" t="n">
        <v>51.4</v>
      </c>
      <c r="C26" s="12" t="n">
        <v>53.1</v>
      </c>
      <c r="D26" s="12" t="n">
        <v>47.7</v>
      </c>
      <c r="E26" s="12" t="n">
        <v>32.1</v>
      </c>
    </row>
    <row r="27" customFormat="false" ht="15" hidden="false" customHeight="false" outlineLevel="0" collapsed="false">
      <c r="A27" s="10" t="s">
        <v>139</v>
      </c>
      <c r="B27" s="12" t="n">
        <v>60.5</v>
      </c>
      <c r="C27" s="12" t="n">
        <v>50.5</v>
      </c>
      <c r="D27" s="12" t="n">
        <v>57.5</v>
      </c>
      <c r="E27" s="12" t="n">
        <v>50.5</v>
      </c>
    </row>
    <row r="28" customFormat="false" ht="15" hidden="false" customHeight="false" outlineLevel="0" collapsed="false">
      <c r="A28" s="10" t="s">
        <v>140</v>
      </c>
      <c r="B28" s="12" t="n">
        <v>62.1</v>
      </c>
      <c r="C28" s="12" t="n">
        <v>40.2</v>
      </c>
      <c r="D28" s="12" t="n">
        <v>33.2</v>
      </c>
      <c r="E28" s="12" t="n">
        <v>32.9</v>
      </c>
    </row>
    <row r="29" customFormat="false" ht="15" hidden="false" customHeight="false" outlineLevel="0" collapsed="false">
      <c r="A29" s="10" t="s">
        <v>141</v>
      </c>
      <c r="B29" s="12" t="n">
        <v>60.6</v>
      </c>
      <c r="C29" s="12" t="n">
        <v>46.7</v>
      </c>
      <c r="D29" s="12" t="n">
        <v>80</v>
      </c>
      <c r="E29" s="12" t="n">
        <v>51.5</v>
      </c>
    </row>
    <row r="30" customFormat="false" ht="15" hidden="false" customHeight="false" outlineLevel="0" collapsed="false">
      <c r="A30" s="10" t="s">
        <v>142</v>
      </c>
      <c r="B30" s="12" t="n">
        <v>48.6</v>
      </c>
      <c r="C30" s="12" t="n">
        <v>43.7</v>
      </c>
      <c r="D30" s="12" t="n">
        <v>70.8</v>
      </c>
      <c r="E30" s="12" t="n">
        <v>43.9</v>
      </c>
    </row>
    <row r="31" customFormat="false" ht="15" hidden="false" customHeight="false" outlineLevel="0" collapsed="false">
      <c r="A31" s="10" t="s">
        <v>143</v>
      </c>
      <c r="B31" s="12" t="n">
        <v>62.1</v>
      </c>
      <c r="C31" s="12" t="n">
        <v>37.7</v>
      </c>
      <c r="D31" s="12" t="n">
        <v>47.2</v>
      </c>
      <c r="E31" s="12" t="n">
        <v>40.4</v>
      </c>
    </row>
    <row r="32" customFormat="false" ht="15" hidden="false" customHeight="false" outlineLevel="0" collapsed="false">
      <c r="A32" s="10" t="s">
        <v>144</v>
      </c>
      <c r="B32" s="12" t="n">
        <v>50.7</v>
      </c>
      <c r="C32" s="12" t="n">
        <v>44.2</v>
      </c>
      <c r="D32" s="12" t="n">
        <v>47.7</v>
      </c>
      <c r="E32" s="12" t="n">
        <v>34.6</v>
      </c>
    </row>
    <row r="33" customFormat="false" ht="15" hidden="false" customHeight="false" outlineLevel="0" collapsed="false">
      <c r="A33" s="10" t="s">
        <v>145</v>
      </c>
      <c r="B33" s="12" t="n">
        <v>41.9</v>
      </c>
      <c r="C33" s="12" t="n">
        <v>34.5</v>
      </c>
      <c r="D33" s="12" t="n">
        <v>52.8</v>
      </c>
      <c r="E33" s="12" t="n">
        <v>62.1</v>
      </c>
    </row>
    <row r="34" customFormat="false" ht="15" hidden="false" customHeight="false" outlineLevel="0" collapsed="false">
      <c r="A34" s="10" t="s">
        <v>146</v>
      </c>
      <c r="B34" s="12" t="n">
        <v>39.6</v>
      </c>
      <c r="C34" s="12" t="n">
        <v>55.6</v>
      </c>
      <c r="D34" s="12" t="n">
        <v>65.3</v>
      </c>
      <c r="E34" s="12" t="n">
        <v>72.2</v>
      </c>
    </row>
    <row r="35" customFormat="false" ht="15" hidden="false" customHeight="false" outlineLevel="0" collapsed="false">
      <c r="A35" s="10" t="s">
        <v>147</v>
      </c>
      <c r="B35" s="12" t="n">
        <v>43</v>
      </c>
      <c r="C35" s="12" t="n">
        <v>55.6</v>
      </c>
      <c r="D35" s="12" t="n">
        <v>40.9</v>
      </c>
      <c r="E35" s="12" t="n">
        <v>39.3</v>
      </c>
    </row>
    <row r="36" customFormat="false" ht="15" hidden="false" customHeight="false" outlineLevel="0" collapsed="false">
      <c r="A36" s="10" t="s">
        <v>148</v>
      </c>
      <c r="B36" s="12" t="n">
        <v>35.6</v>
      </c>
      <c r="C36" s="12" t="n">
        <v>38</v>
      </c>
      <c r="D36" s="12" t="n">
        <v>60.6</v>
      </c>
      <c r="E36" s="12" t="n">
        <v>34.7</v>
      </c>
    </row>
    <row r="37" customFormat="false" ht="15" hidden="false" customHeight="false" outlineLevel="0" collapsed="false">
      <c r="A37" s="10" t="s">
        <v>149</v>
      </c>
      <c r="B37" s="12" t="n">
        <v>47.5</v>
      </c>
      <c r="C37" s="12" t="n">
        <v>34.2</v>
      </c>
      <c r="D37" s="12" t="n">
        <v>45</v>
      </c>
      <c r="E37" s="12" t="n">
        <v>40.9</v>
      </c>
    </row>
    <row r="38" customFormat="false" ht="15" hidden="false" customHeight="false" outlineLevel="0" collapsed="false">
      <c r="A38" s="10" t="s">
        <v>150</v>
      </c>
      <c r="B38" s="12" t="n">
        <v>50.4</v>
      </c>
      <c r="C38" s="12" t="n">
        <v>43.6</v>
      </c>
      <c r="D38" s="12" t="n">
        <v>40.7</v>
      </c>
      <c r="E38" s="12" t="n">
        <v>34.7</v>
      </c>
    </row>
    <row r="39" customFormat="false" ht="15" hidden="false" customHeight="false" outlineLevel="0" collapsed="false">
      <c r="A39" s="10" t="s">
        <v>151</v>
      </c>
      <c r="B39" s="12" t="n">
        <v>63.6</v>
      </c>
      <c r="C39" s="12" t="n">
        <v>36.7</v>
      </c>
      <c r="D39" s="12" t="n">
        <v>39.8</v>
      </c>
      <c r="E39" s="12" t="n">
        <v>45.2</v>
      </c>
    </row>
    <row r="40" customFormat="false" ht="15" hidden="false" customHeight="false" outlineLevel="0" collapsed="false">
      <c r="A40" s="10" t="s">
        <v>152</v>
      </c>
      <c r="B40" s="12" t="n">
        <v>62.2</v>
      </c>
      <c r="C40" s="12" t="n">
        <v>42</v>
      </c>
      <c r="D40" s="12" t="n">
        <v>37</v>
      </c>
      <c r="E40" s="12" t="n">
        <v>37.3</v>
      </c>
    </row>
    <row r="41" customFormat="false" ht="15" hidden="false" customHeight="false" outlineLevel="0" collapsed="false">
      <c r="A41" s="10" t="s">
        <v>153</v>
      </c>
      <c r="B41" s="12" t="n">
        <v>99.6</v>
      </c>
      <c r="C41" s="12" t="n">
        <v>60.9</v>
      </c>
      <c r="D41" s="12" t="n">
        <v>36.9</v>
      </c>
      <c r="E41" s="12" t="n">
        <v>40.6</v>
      </c>
    </row>
    <row r="42" customFormat="false" ht="15" hidden="false" customHeight="false" outlineLevel="0" collapsed="false">
      <c r="A42" s="10" t="s">
        <v>154</v>
      </c>
      <c r="B42" s="12" t="n">
        <v>62.1</v>
      </c>
      <c r="C42" s="12" t="n">
        <v>43.3</v>
      </c>
      <c r="D42" s="12" t="n">
        <v>48</v>
      </c>
      <c r="E42" s="12" t="n">
        <v>48.6</v>
      </c>
    </row>
    <row r="43" customFormat="false" ht="15" hidden="false" customHeight="false" outlineLevel="0" collapsed="false">
      <c r="A43" s="10" t="s">
        <v>155</v>
      </c>
      <c r="B43" s="12" t="n">
        <v>35.8</v>
      </c>
      <c r="C43" s="12" t="n">
        <v>33.4</v>
      </c>
      <c r="D43" s="12" t="n">
        <v>38.9</v>
      </c>
      <c r="E43" s="12" t="n">
        <v>27.9</v>
      </c>
    </row>
    <row r="44" customFormat="false" ht="15" hidden="false" customHeight="false" outlineLevel="0" collapsed="false">
      <c r="A44" s="10" t="s">
        <v>156</v>
      </c>
      <c r="B44" s="12" t="n">
        <v>61.8</v>
      </c>
      <c r="C44" s="12" t="n">
        <v>117.2</v>
      </c>
      <c r="D44" s="12" t="n">
        <v>42</v>
      </c>
      <c r="E44" s="12" t="n">
        <v>66.4</v>
      </c>
    </row>
    <row r="45" customFormat="false" ht="15" hidden="false" customHeight="false" outlineLevel="0" collapsed="false">
      <c r="A45" s="10" t="s">
        <v>157</v>
      </c>
      <c r="B45" s="12" t="n">
        <v>39.6</v>
      </c>
      <c r="C45" s="12" t="n">
        <v>44.9</v>
      </c>
      <c r="D45" s="12" t="n">
        <v>36</v>
      </c>
      <c r="E45" s="12" t="n">
        <v>81.1</v>
      </c>
    </row>
    <row r="46" customFormat="false" ht="15" hidden="false" customHeight="false" outlineLevel="0" collapsed="false">
      <c r="A46" s="10" t="s">
        <v>158</v>
      </c>
      <c r="B46" s="12" t="n">
        <v>38.5</v>
      </c>
      <c r="C46" s="12" t="n">
        <v>42.6</v>
      </c>
      <c r="D46" s="12" t="n">
        <v>45.2</v>
      </c>
      <c r="E46" s="12" t="n">
        <v>40</v>
      </c>
    </row>
    <row r="47" customFormat="false" ht="15" hidden="false" customHeight="false" outlineLevel="0" collapsed="false">
      <c r="A47" s="10" t="s">
        <v>159</v>
      </c>
      <c r="B47" s="12" t="n">
        <v>35</v>
      </c>
      <c r="C47" s="12" t="n">
        <v>37.5</v>
      </c>
      <c r="D47" s="12" t="n">
        <v>35.5</v>
      </c>
      <c r="E47" s="12" t="n">
        <v>43.7</v>
      </c>
    </row>
    <row r="48" customFormat="false" ht="15" hidden="false" customHeight="false" outlineLevel="0" collapsed="false">
      <c r="A48" s="10" t="s">
        <v>160</v>
      </c>
      <c r="B48" s="12" t="n">
        <v>47.9</v>
      </c>
      <c r="C48" s="12" t="n">
        <v>44.2</v>
      </c>
      <c r="D48" s="12" t="n">
        <v>58.8</v>
      </c>
      <c r="E48" s="12" t="n">
        <v>53.9</v>
      </c>
    </row>
    <row r="49" customFormat="false" ht="15" hidden="false" customHeight="false" outlineLevel="0" collapsed="false">
      <c r="A49" s="10" t="s">
        <v>161</v>
      </c>
      <c r="B49" s="12" t="n">
        <v>77.5</v>
      </c>
      <c r="C49" s="12" t="n">
        <v>63.6</v>
      </c>
      <c r="D49" s="12" t="n">
        <v>37.4</v>
      </c>
      <c r="E49" s="12" t="n">
        <v>50.9</v>
      </c>
    </row>
    <row r="50" customFormat="false" ht="15" hidden="false" customHeight="false" outlineLevel="0" collapsed="false">
      <c r="A50" s="10" t="s">
        <v>162</v>
      </c>
      <c r="B50" s="12" t="n">
        <v>52.1</v>
      </c>
      <c r="C50" s="12" t="n">
        <v>43</v>
      </c>
      <c r="D50" s="12" t="n">
        <v>47.6</v>
      </c>
      <c r="E50" s="12" t="n">
        <v>49.3</v>
      </c>
    </row>
    <row r="51" customFormat="false" ht="15" hidden="false" customHeight="false" outlineLevel="0" collapsed="false">
      <c r="A51" s="10" t="s">
        <v>163</v>
      </c>
      <c r="B51" s="12" t="n">
        <v>53.7</v>
      </c>
      <c r="C51" s="12" t="n">
        <v>57.8</v>
      </c>
      <c r="D51" s="12" t="n">
        <v>34.5</v>
      </c>
      <c r="E51" s="12" t="n">
        <v>37.2</v>
      </c>
    </row>
    <row r="52" customFormat="false" ht="15" hidden="false" customHeight="false" outlineLevel="0" collapsed="false">
      <c r="A52" s="10" t="s">
        <v>164</v>
      </c>
      <c r="B52" s="12" t="n">
        <v>58.9</v>
      </c>
      <c r="C52" s="12" t="n">
        <v>58.2</v>
      </c>
      <c r="D52" s="12" t="n">
        <v>29.6</v>
      </c>
      <c r="E52" s="12" t="n">
        <v>38.8</v>
      </c>
    </row>
    <row r="53" customFormat="false" ht="15" hidden="false" customHeight="false" outlineLevel="0" collapsed="false">
      <c r="A53" s="10" t="s">
        <v>165</v>
      </c>
      <c r="B53" s="12" t="n">
        <v>52</v>
      </c>
      <c r="C53" s="12" t="n">
        <v>45.8</v>
      </c>
      <c r="D53" s="12" t="n">
        <v>27.2</v>
      </c>
      <c r="E53" s="12" t="n">
        <v>54.3</v>
      </c>
    </row>
    <row r="54" customFormat="false" ht="15" hidden="false" customHeight="false" outlineLevel="0" collapsed="false">
      <c r="A54" s="10" t="s">
        <v>166</v>
      </c>
      <c r="B54" s="12" t="n">
        <v>35.2</v>
      </c>
      <c r="C54" s="12" t="n">
        <v>36</v>
      </c>
      <c r="D54" s="12" t="n">
        <v>35</v>
      </c>
      <c r="E54" s="12" t="n">
        <v>37.1</v>
      </c>
    </row>
    <row r="55" customFormat="false" ht="15" hidden="false" customHeight="false" outlineLevel="0" collapsed="false">
      <c r="A55" s="10" t="s">
        <v>167</v>
      </c>
      <c r="B55" s="12" t="n">
        <v>56.7</v>
      </c>
      <c r="C55" s="12" t="n">
        <v>41</v>
      </c>
      <c r="D55" s="12" t="n">
        <v>54.7</v>
      </c>
      <c r="E55" s="12" t="n">
        <v>35.4</v>
      </c>
    </row>
    <row r="56" customFormat="false" ht="15" hidden="false" customHeight="false" outlineLevel="0" collapsed="false">
      <c r="A56" s="10" t="s">
        <v>168</v>
      </c>
      <c r="B56" s="12" t="n">
        <v>59.5</v>
      </c>
      <c r="C56" s="12" t="n">
        <v>69.8</v>
      </c>
      <c r="D56" s="12" t="n">
        <v>74.2</v>
      </c>
      <c r="E56" s="12" t="n">
        <v>62.5</v>
      </c>
    </row>
    <row r="57" customFormat="false" ht="15" hidden="false" customHeight="false" outlineLevel="0" collapsed="false">
      <c r="A57" s="10" t="s">
        <v>169</v>
      </c>
      <c r="B57" s="12" t="n">
        <v>48.6</v>
      </c>
      <c r="C57" s="12" t="n">
        <v>47.8</v>
      </c>
      <c r="D57" s="12" t="n">
        <v>54.3</v>
      </c>
      <c r="E57" s="12" t="n">
        <v>64.4</v>
      </c>
    </row>
    <row r="58" customFormat="false" ht="15" hidden="false" customHeight="false" outlineLevel="0" collapsed="false">
      <c r="A58" s="10" t="s">
        <v>170</v>
      </c>
      <c r="B58" s="12" t="n">
        <v>75.9</v>
      </c>
      <c r="C58" s="12" t="n">
        <v>52.7</v>
      </c>
      <c r="D58" s="12" t="n">
        <v>46</v>
      </c>
      <c r="E58" s="12" t="n">
        <v>59.9</v>
      </c>
    </row>
    <row r="59" customFormat="false" ht="15" hidden="false" customHeight="false" outlineLevel="0" collapsed="false">
      <c r="A59" s="10" t="s">
        <v>171</v>
      </c>
      <c r="B59" s="12" t="n">
        <v>71.7</v>
      </c>
      <c r="C59" s="12" t="n">
        <v>47.6</v>
      </c>
      <c r="D59" s="12" t="n">
        <v>38.1</v>
      </c>
      <c r="E59" s="12" t="n">
        <v>43.7</v>
      </c>
    </row>
    <row r="60" customFormat="false" ht="15" hidden="false" customHeight="false" outlineLevel="0" collapsed="false">
      <c r="A60" s="10" t="s">
        <v>172</v>
      </c>
      <c r="B60" s="12" t="n">
        <v>53.7</v>
      </c>
      <c r="C60" s="12" t="n">
        <v>66.3</v>
      </c>
      <c r="D60" s="12" t="n">
        <v>54.1</v>
      </c>
      <c r="E60" s="12" t="n">
        <v>64.2</v>
      </c>
    </row>
    <row r="61" customFormat="false" ht="15" hidden="false" customHeight="false" outlineLevel="0" collapsed="false">
      <c r="A61" s="10" t="s">
        <v>173</v>
      </c>
      <c r="B61" s="12" t="n">
        <v>65.5</v>
      </c>
      <c r="C61" s="12" t="n">
        <v>41.8</v>
      </c>
      <c r="D61" s="12" t="n">
        <v>65.3</v>
      </c>
      <c r="E61" s="12" t="n">
        <v>39.9</v>
      </c>
    </row>
    <row r="62" customFormat="false" ht="15" hidden="false" customHeight="false" outlineLevel="0" collapsed="false">
      <c r="A62" s="10" t="s">
        <v>174</v>
      </c>
      <c r="B62" s="12" t="n">
        <v>80.9</v>
      </c>
      <c r="C62" s="12" t="n">
        <v>98.6</v>
      </c>
      <c r="D62" s="12" t="n">
        <v>50.3</v>
      </c>
      <c r="E62" s="12" t="n">
        <v>57.7</v>
      </c>
    </row>
    <row r="63" customFormat="false" ht="15" hidden="false" customHeight="false" outlineLevel="0" collapsed="false">
      <c r="A63" s="10" t="s">
        <v>175</v>
      </c>
      <c r="B63" s="12" t="n">
        <v>52.1</v>
      </c>
      <c r="C63" s="12" t="n">
        <v>45.3</v>
      </c>
      <c r="D63" s="12" t="n">
        <v>38.7</v>
      </c>
      <c r="E63" s="12" t="n">
        <v>102.6</v>
      </c>
    </row>
    <row r="64" customFormat="false" ht="15" hidden="false" customHeight="false" outlineLevel="0" collapsed="false">
      <c r="A64" s="10" t="s">
        <v>176</v>
      </c>
      <c r="B64" s="12" t="n">
        <v>52.4</v>
      </c>
      <c r="C64" s="12" t="n">
        <v>40.6</v>
      </c>
      <c r="D64" s="12" t="n">
        <v>39.8</v>
      </c>
      <c r="E64" s="12" t="n">
        <v>44.5</v>
      </c>
    </row>
    <row r="65" customFormat="false" ht="15" hidden="false" customHeight="false" outlineLevel="0" collapsed="false">
      <c r="A65" s="10" t="s">
        <v>177</v>
      </c>
      <c r="B65" s="12" t="n">
        <v>60.9</v>
      </c>
      <c r="C65" s="12" t="n">
        <v>39</v>
      </c>
      <c r="D65" s="12" t="n">
        <v>42</v>
      </c>
      <c r="E65" s="12" t="n">
        <v>64.8</v>
      </c>
    </row>
    <row r="66" customFormat="false" ht="15" hidden="false" customHeight="false" outlineLevel="0" collapsed="false">
      <c r="A66" s="10" t="s">
        <v>178</v>
      </c>
      <c r="B66" s="12" t="n">
        <v>73.9</v>
      </c>
      <c r="C66" s="12" t="n">
        <v>58.5</v>
      </c>
      <c r="D66" s="12" t="n">
        <v>51.3</v>
      </c>
      <c r="E66" s="12" t="n">
        <v>54.4</v>
      </c>
    </row>
    <row r="67" customFormat="false" ht="15" hidden="false" customHeight="false" outlineLevel="0" collapsed="false">
      <c r="A67" s="10" t="s">
        <v>179</v>
      </c>
      <c r="B67" s="12" t="n">
        <v>74.9</v>
      </c>
      <c r="C67" s="12" t="n">
        <v>88.7</v>
      </c>
      <c r="D67" s="12" t="n">
        <v>53.2</v>
      </c>
      <c r="E67" s="12" t="n">
        <v>45.8</v>
      </c>
    </row>
    <row r="68" customFormat="false" ht="15" hidden="false" customHeight="false" outlineLevel="0" collapsed="false">
      <c r="A68" s="10" t="s">
        <v>180</v>
      </c>
      <c r="B68" s="12" t="n">
        <v>89.2</v>
      </c>
      <c r="C68" s="12" t="n">
        <v>50.4</v>
      </c>
      <c r="D68" s="12" t="n">
        <v>64.4</v>
      </c>
      <c r="E68" s="12" t="n">
        <v>50.9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8" min="5" style="0" width="12"/>
  </cols>
  <sheetData>
    <row r="1" customFormat="false" ht="17.35" hidden="false" customHeight="false" outlineLevel="0" collapsed="false">
      <c r="A1" s="1" t="s">
        <v>181</v>
      </c>
    </row>
    <row r="3" customFormat="false" ht="45" hidden="false" customHeight="true" outlineLevel="0" collapsed="false">
      <c r="A3" s="9" t="s">
        <v>182</v>
      </c>
      <c r="B3" s="9" t="s">
        <v>183</v>
      </c>
      <c r="C3" s="9" t="s">
        <v>184</v>
      </c>
      <c r="D3" s="9" t="s">
        <v>103</v>
      </c>
      <c r="E3" s="9" t="s">
        <v>185</v>
      </c>
      <c r="F3" s="9" t="s">
        <v>44</v>
      </c>
      <c r="G3" s="9" t="s">
        <v>115</v>
      </c>
      <c r="H3" s="9" t="s">
        <v>45</v>
      </c>
    </row>
    <row r="4" customFormat="false" ht="15" hidden="false" customHeight="false" outlineLevel="0" collapsed="false">
      <c r="A4" s="14" t="s">
        <v>186</v>
      </c>
      <c r="B4" s="26" t="n">
        <v>22</v>
      </c>
      <c r="C4" s="27" t="n">
        <v>1.586</v>
      </c>
      <c r="D4" s="26" t="n">
        <v>14</v>
      </c>
      <c r="E4" s="28" t="n">
        <f aca="false">D4/B4</f>
        <v>0.636363636363636</v>
      </c>
      <c r="F4" s="15" t="n">
        <v>0.438</v>
      </c>
      <c r="G4" s="15" t="n">
        <v>0.4</v>
      </c>
      <c r="H4" s="15" t="n">
        <v>0.284</v>
      </c>
    </row>
    <row r="5" customFormat="false" ht="15" hidden="false" customHeight="false" outlineLevel="0" collapsed="false">
      <c r="A5" s="10" t="s">
        <v>187</v>
      </c>
      <c r="B5" s="29" t="n">
        <v>52</v>
      </c>
      <c r="C5" s="30" t="n">
        <v>1.101</v>
      </c>
      <c r="D5" s="29" t="n">
        <v>10</v>
      </c>
      <c r="E5" s="31" t="n">
        <f aca="false">D5/B5</f>
        <v>0.192307692307692</v>
      </c>
      <c r="F5" s="11" t="n">
        <v>0.273</v>
      </c>
      <c r="G5" s="11" t="n">
        <v>0.214</v>
      </c>
      <c r="H5" s="11" t="n">
        <v>0.268</v>
      </c>
    </row>
    <row r="6" customFormat="false" ht="15" hidden="false" customHeight="false" outlineLevel="0" collapsed="false">
      <c r="A6" s="10" t="s">
        <v>188</v>
      </c>
      <c r="B6" s="29" t="n">
        <v>62</v>
      </c>
      <c r="C6" s="30" t="n">
        <v>1.047</v>
      </c>
      <c r="D6" s="29" t="n">
        <v>3</v>
      </c>
      <c r="E6" s="31" t="n">
        <f aca="false">D6/B6</f>
        <v>0.0483870967741936</v>
      </c>
      <c r="F6" s="11" t="n">
        <v>0.251</v>
      </c>
      <c r="G6" s="11" t="n">
        <v>0.211</v>
      </c>
      <c r="H6" s="11" t="n">
        <v>0.251</v>
      </c>
    </row>
    <row r="7" customFormat="false" ht="15" hidden="false" customHeight="false" outlineLevel="0" collapsed="false">
      <c r="A7" s="10" t="s">
        <v>189</v>
      </c>
      <c r="B7" s="29" t="n">
        <v>16</v>
      </c>
      <c r="C7" s="30" t="n">
        <v>1.025</v>
      </c>
      <c r="D7" s="29" t="n">
        <v>0</v>
      </c>
      <c r="E7" s="31" t="n">
        <f aca="false">D7/B7</f>
        <v>0</v>
      </c>
      <c r="F7" s="11" t="n">
        <v>0.247</v>
      </c>
      <c r="G7" s="11" t="n">
        <v>0.225</v>
      </c>
      <c r="H7" s="11" t="n">
        <v>0.242</v>
      </c>
    </row>
    <row r="8" customFormat="false" ht="15" hidden="false" customHeight="false" outlineLevel="0" collapsed="false">
      <c r="A8" s="10" t="s">
        <v>190</v>
      </c>
      <c r="B8" s="29" t="n">
        <v>224</v>
      </c>
      <c r="C8" s="30" t="n">
        <v>1.015</v>
      </c>
      <c r="D8" s="29" t="n">
        <v>0</v>
      </c>
      <c r="E8" s="31" t="n">
        <f aca="false">D8/B8</f>
        <v>0</v>
      </c>
      <c r="F8" s="11" t="n">
        <v>0.303</v>
      </c>
      <c r="G8" s="11" t="n">
        <v>0.267</v>
      </c>
      <c r="H8" s="11" t="n">
        <v>0.312</v>
      </c>
    </row>
    <row r="9" customFormat="false" ht="15" hidden="false" customHeight="false" outlineLevel="0" collapsed="false">
      <c r="A9" s="10" t="s">
        <v>191</v>
      </c>
      <c r="B9" s="29" t="n">
        <v>167</v>
      </c>
      <c r="C9" s="30" t="n">
        <v>1.006</v>
      </c>
      <c r="D9" s="29" t="n">
        <v>2</v>
      </c>
      <c r="E9" s="31" t="n">
        <f aca="false">D9/B9</f>
        <v>0.0119760479041916</v>
      </c>
      <c r="F9" s="11" t="n">
        <v>0.38</v>
      </c>
      <c r="G9" s="11" t="n">
        <v>0.332</v>
      </c>
      <c r="H9" s="11" t="n">
        <v>0.39</v>
      </c>
    </row>
    <row r="10" customFormat="false" ht="15" hidden="false" customHeight="false" outlineLevel="0" collapsed="false">
      <c r="A10" s="10" t="s">
        <v>192</v>
      </c>
      <c r="B10" s="29" t="n">
        <v>184</v>
      </c>
      <c r="C10" s="30" t="n">
        <v>0.979</v>
      </c>
      <c r="D10" s="29" t="n">
        <v>1</v>
      </c>
      <c r="E10" s="31" t="n">
        <f aca="false">D10/B10</f>
        <v>0.00543478260869565</v>
      </c>
      <c r="F10" s="11" t="n">
        <v>0.38</v>
      </c>
      <c r="G10" s="11" t="n">
        <v>0.358</v>
      </c>
      <c r="H10" s="11" t="n">
        <v>0.38</v>
      </c>
    </row>
    <row r="11" customFormat="false" ht="15" hidden="false" customHeight="false" outlineLevel="0" collapsed="false">
      <c r="A11" s="10" t="s">
        <v>193</v>
      </c>
      <c r="B11" s="29" t="n">
        <v>417</v>
      </c>
      <c r="C11" s="30" t="n">
        <v>0.974</v>
      </c>
      <c r="D11" s="29" t="n">
        <v>2</v>
      </c>
      <c r="E11" s="31" t="n">
        <f aca="false">D11/B11</f>
        <v>0.00479616306954436</v>
      </c>
      <c r="F11" s="11" t="n">
        <v>0.346</v>
      </c>
      <c r="G11" s="11" t="n">
        <v>0.319</v>
      </c>
      <c r="H11" s="11" t="n">
        <v>0.35</v>
      </c>
    </row>
    <row r="12" customFormat="false" ht="15" hidden="false" customHeight="false" outlineLevel="0" collapsed="false">
      <c r="A12" s="10" t="s">
        <v>194</v>
      </c>
      <c r="B12" s="29" t="n">
        <v>79</v>
      </c>
      <c r="C12" s="30" t="n">
        <v>0.974</v>
      </c>
      <c r="D12" s="29" t="n">
        <v>0</v>
      </c>
      <c r="E12" s="31" t="n">
        <f aca="false">D12/B12</f>
        <v>0</v>
      </c>
      <c r="F12" s="11" t="n">
        <v>0.259</v>
      </c>
      <c r="G12" s="11" t="n">
        <v>0.244</v>
      </c>
      <c r="H12" s="11" t="n">
        <v>0.261</v>
      </c>
    </row>
    <row r="13" customFormat="false" ht="15" hidden="false" customHeight="false" outlineLevel="0" collapsed="false">
      <c r="A13" s="10" t="s">
        <v>195</v>
      </c>
      <c r="B13" s="29" t="n">
        <v>645</v>
      </c>
      <c r="C13" s="30" t="n">
        <v>0.957</v>
      </c>
      <c r="D13" s="29" t="n">
        <v>2</v>
      </c>
      <c r="E13" s="31" t="n">
        <f aca="false">D13/B13</f>
        <v>0.00310077519379845</v>
      </c>
      <c r="F13" s="11" t="n">
        <v>0.295</v>
      </c>
      <c r="G13" s="11" t="n">
        <v>0.297</v>
      </c>
      <c r="H13" s="11" t="n">
        <v>0.285</v>
      </c>
    </row>
    <row r="14" customFormat="false" ht="15" hidden="false" customHeight="false" outlineLevel="0" collapsed="false">
      <c r="A14" s="10" t="s">
        <v>196</v>
      </c>
      <c r="B14" s="29" t="n">
        <v>142</v>
      </c>
      <c r="C14" s="30" t="n">
        <v>0.955</v>
      </c>
      <c r="D14" s="29" t="n">
        <v>0</v>
      </c>
      <c r="E14" s="31" t="n">
        <f aca="false">D14/B14</f>
        <v>0</v>
      </c>
      <c r="F14" s="11" t="n">
        <v>0.257</v>
      </c>
      <c r="G14" s="11" t="n">
        <v>0.232</v>
      </c>
      <c r="H14" s="11" t="n">
        <v>0.26</v>
      </c>
    </row>
    <row r="15" customFormat="false" ht="15" hidden="false" customHeight="false" outlineLevel="0" collapsed="false">
      <c r="A15" s="10" t="s">
        <v>197</v>
      </c>
      <c r="B15" s="29" t="n">
        <v>144</v>
      </c>
      <c r="C15" s="30" t="n">
        <v>0.954</v>
      </c>
      <c r="D15" s="29" t="n">
        <v>0</v>
      </c>
      <c r="E15" s="31" t="n">
        <f aca="false">D15/B15</f>
        <v>0</v>
      </c>
      <c r="F15" s="11" t="n">
        <v>0.257</v>
      </c>
      <c r="G15" s="11" t="n">
        <v>0.237</v>
      </c>
      <c r="H15" s="11" t="n">
        <v>0.258</v>
      </c>
    </row>
    <row r="16" customFormat="false" ht="15" hidden="false" customHeight="false" outlineLevel="0" collapsed="false">
      <c r="A16" s="10" t="s">
        <v>198</v>
      </c>
      <c r="B16" s="29" t="n">
        <v>92</v>
      </c>
      <c r="C16" s="30" t="n">
        <v>0.943</v>
      </c>
      <c r="D16" s="29" t="n">
        <v>0</v>
      </c>
      <c r="E16" s="31" t="n">
        <f aca="false">D16/B16</f>
        <v>0</v>
      </c>
      <c r="F16" s="11" t="n">
        <v>0.341</v>
      </c>
      <c r="G16" s="11" t="n">
        <v>0.302</v>
      </c>
      <c r="H16" s="11" t="n">
        <v>0.343</v>
      </c>
    </row>
    <row r="17" customFormat="false" ht="15" hidden="false" customHeight="false" outlineLevel="0" collapsed="false">
      <c r="A17" s="10" t="s">
        <v>199</v>
      </c>
      <c r="B17" s="29" t="n">
        <v>15</v>
      </c>
      <c r="C17" s="30" t="n">
        <v>0.94</v>
      </c>
      <c r="D17" s="29" t="n">
        <v>0</v>
      </c>
      <c r="E17" s="31" t="n">
        <f aca="false">D17/B17</f>
        <v>0</v>
      </c>
      <c r="F17" s="11" t="n">
        <v>0.244</v>
      </c>
      <c r="G17" s="11" t="n">
        <v>0.193</v>
      </c>
      <c r="H17" s="11" t="n">
        <v>0.257</v>
      </c>
    </row>
    <row r="18" customFormat="false" ht="15" hidden="false" customHeight="false" outlineLevel="0" collapsed="false">
      <c r="A18" s="10" t="s">
        <v>200</v>
      </c>
      <c r="B18" s="29" t="n">
        <v>217</v>
      </c>
      <c r="C18" s="30" t="n">
        <v>0.934</v>
      </c>
      <c r="D18" s="29" t="n">
        <v>0</v>
      </c>
      <c r="E18" s="31" t="n">
        <f aca="false">D18/B18</f>
        <v>0</v>
      </c>
      <c r="F18" s="11" t="n">
        <v>0.26</v>
      </c>
      <c r="G18" s="11" t="n">
        <v>0.241</v>
      </c>
      <c r="H18" s="11" t="n">
        <v>0.26</v>
      </c>
    </row>
    <row r="19" customFormat="false" ht="15" hidden="false" customHeight="false" outlineLevel="0" collapsed="false">
      <c r="A19" s="10" t="s">
        <v>201</v>
      </c>
      <c r="B19" s="29" t="n">
        <v>246</v>
      </c>
      <c r="C19" s="30" t="n">
        <v>0.92</v>
      </c>
      <c r="D19" s="29" t="n">
        <v>0</v>
      </c>
      <c r="E19" s="31" t="n">
        <f aca="false">D19/B19</f>
        <v>0</v>
      </c>
      <c r="F19" s="11" t="n">
        <v>0.276</v>
      </c>
      <c r="G19" s="11" t="n">
        <v>0.302</v>
      </c>
      <c r="H19" s="11" t="n">
        <v>0.258</v>
      </c>
    </row>
    <row r="20" customFormat="false" ht="15" hidden="false" customHeight="false" outlineLevel="0" collapsed="false">
      <c r="A20" s="10" t="s">
        <v>202</v>
      </c>
      <c r="B20" s="29" t="n">
        <v>184</v>
      </c>
      <c r="C20" s="30" t="n">
        <v>0.92</v>
      </c>
      <c r="D20" s="29" t="n">
        <v>0</v>
      </c>
      <c r="E20" s="31" t="n">
        <f aca="false">D20/B20</f>
        <v>0</v>
      </c>
      <c r="F20" s="11" t="n">
        <v>0.339</v>
      </c>
      <c r="G20" s="11" t="n">
        <v>0.307</v>
      </c>
      <c r="H20" s="11" t="n">
        <v>0.342</v>
      </c>
    </row>
    <row r="21" customFormat="false" ht="15" hidden="false" customHeight="false" outlineLevel="0" collapsed="false">
      <c r="A21" s="10" t="s">
        <v>203</v>
      </c>
      <c r="B21" s="29" t="n">
        <v>223</v>
      </c>
      <c r="C21" s="30" t="n">
        <v>0.917</v>
      </c>
      <c r="D21" s="29" t="n">
        <v>1</v>
      </c>
      <c r="E21" s="31" t="n">
        <f aca="false">D21/B21</f>
        <v>0.00448430493273543</v>
      </c>
      <c r="F21" s="11" t="n">
        <v>0.359</v>
      </c>
      <c r="G21" s="11" t="n">
        <v>0.327</v>
      </c>
      <c r="H21" s="11" t="n">
        <v>0.361</v>
      </c>
    </row>
    <row r="22" customFormat="false" ht="15" hidden="false" customHeight="false" outlineLevel="0" collapsed="false">
      <c r="A22" s="10" t="s">
        <v>204</v>
      </c>
      <c r="B22" s="29" t="n">
        <v>102</v>
      </c>
      <c r="C22" s="30" t="n">
        <v>0.913</v>
      </c>
      <c r="D22" s="29" t="n">
        <v>1</v>
      </c>
      <c r="E22" s="31" t="n">
        <f aca="false">D22/B22</f>
        <v>0.00980392156862745</v>
      </c>
      <c r="F22" s="11" t="n">
        <v>0.362</v>
      </c>
      <c r="G22" s="11" t="n">
        <v>0.323</v>
      </c>
      <c r="H22" s="11" t="n">
        <v>0.362</v>
      </c>
    </row>
    <row r="23" customFormat="false" ht="15" hidden="false" customHeight="false" outlineLevel="0" collapsed="false">
      <c r="A23" s="10" t="s">
        <v>205</v>
      </c>
      <c r="B23" s="29" t="n">
        <v>853</v>
      </c>
      <c r="C23" s="30" t="n">
        <v>0.905</v>
      </c>
      <c r="D23" s="29" t="n">
        <v>2</v>
      </c>
      <c r="E23" s="31" t="n">
        <f aca="false">D23/B23</f>
        <v>0.00234466588511137</v>
      </c>
      <c r="F23" s="11" t="n">
        <v>0.29</v>
      </c>
      <c r="G23" s="11" t="n">
        <v>0.265</v>
      </c>
      <c r="H23" s="11" t="n">
        <v>0.287</v>
      </c>
    </row>
    <row r="24" customFormat="false" ht="15" hidden="false" customHeight="false" outlineLevel="0" collapsed="false">
      <c r="A24" s="10" t="s">
        <v>206</v>
      </c>
      <c r="B24" s="29" t="n">
        <v>139</v>
      </c>
      <c r="C24" s="30" t="n">
        <v>0.896</v>
      </c>
      <c r="D24" s="29" t="n">
        <v>0</v>
      </c>
      <c r="E24" s="31" t="n">
        <f aca="false">D24/B24</f>
        <v>0</v>
      </c>
      <c r="F24" s="11" t="n">
        <v>0.252</v>
      </c>
      <c r="G24" s="11" t="n">
        <v>0.244</v>
      </c>
      <c r="H24" s="11" t="n">
        <v>0.246</v>
      </c>
    </row>
    <row r="25" customFormat="false" ht="15" hidden="false" customHeight="false" outlineLevel="0" collapsed="false">
      <c r="A25" s="10" t="s">
        <v>207</v>
      </c>
      <c r="B25" s="29" t="n">
        <v>77</v>
      </c>
      <c r="C25" s="30" t="n">
        <v>0.894</v>
      </c>
      <c r="D25" s="29" t="n">
        <v>0</v>
      </c>
      <c r="E25" s="31" t="n">
        <f aca="false">D25/B25</f>
        <v>0</v>
      </c>
      <c r="F25" s="11" t="n">
        <v>0.31</v>
      </c>
      <c r="G25" s="11" t="n">
        <v>0.282</v>
      </c>
      <c r="H25" s="11" t="n">
        <v>0.313</v>
      </c>
    </row>
    <row r="26" customFormat="false" ht="15" hidden="false" customHeight="false" outlineLevel="0" collapsed="false">
      <c r="A26" s="10" t="s">
        <v>208</v>
      </c>
      <c r="B26" s="29" t="n">
        <v>295</v>
      </c>
      <c r="C26" s="30" t="n">
        <v>0.891</v>
      </c>
      <c r="D26" s="29" t="n">
        <v>0</v>
      </c>
      <c r="E26" s="31" t="n">
        <f aca="false">D26/B26</f>
        <v>0</v>
      </c>
      <c r="F26" s="11" t="n">
        <v>0.295</v>
      </c>
      <c r="G26" s="11" t="n">
        <v>0.275</v>
      </c>
      <c r="H26" s="11" t="n">
        <v>0.291</v>
      </c>
    </row>
    <row r="27" customFormat="false" ht="15" hidden="false" customHeight="false" outlineLevel="0" collapsed="false">
      <c r="A27" s="10" t="s">
        <v>209</v>
      </c>
      <c r="B27" s="29" t="n">
        <v>75</v>
      </c>
      <c r="C27" s="30" t="n">
        <v>0.88</v>
      </c>
      <c r="D27" s="29" t="n">
        <v>0</v>
      </c>
      <c r="E27" s="31" t="n">
        <f aca="false">D27/B27</f>
        <v>0</v>
      </c>
      <c r="F27" s="11" t="n">
        <v>0.364</v>
      </c>
      <c r="G27" s="11" t="n">
        <v>0.358</v>
      </c>
      <c r="H27" s="11" t="n">
        <v>0.349</v>
      </c>
    </row>
    <row r="28" customFormat="false" ht="15" hidden="false" customHeight="false" outlineLevel="0" collapsed="false">
      <c r="A28" s="10" t="s">
        <v>210</v>
      </c>
      <c r="B28" s="29" t="n">
        <v>497</v>
      </c>
      <c r="C28" s="30" t="n">
        <v>0.857</v>
      </c>
      <c r="D28" s="29" t="n">
        <v>0</v>
      </c>
      <c r="E28" s="31" t="n">
        <f aca="false">D28/B28</f>
        <v>0</v>
      </c>
      <c r="F28" s="11" t="n">
        <v>0.291</v>
      </c>
      <c r="G28" s="11" t="n">
        <v>0.258</v>
      </c>
      <c r="H28" s="11" t="n">
        <v>0.286</v>
      </c>
    </row>
    <row r="29" customFormat="false" ht="15" hidden="false" customHeight="false" outlineLevel="0" collapsed="false">
      <c r="A29" s="10" t="s">
        <v>211</v>
      </c>
      <c r="B29" s="29" t="n">
        <v>399</v>
      </c>
      <c r="C29" s="30" t="n">
        <v>0.822</v>
      </c>
      <c r="D29" s="29" t="n">
        <v>0</v>
      </c>
      <c r="E29" s="31" t="n">
        <f aca="false">D29/B29</f>
        <v>0</v>
      </c>
      <c r="F29" s="11" t="n">
        <v>0.299</v>
      </c>
      <c r="G29" s="11" t="n">
        <v>0.257</v>
      </c>
      <c r="H29" s="11" t="n">
        <v>0.289</v>
      </c>
    </row>
    <row r="30" customFormat="false" ht="15" hidden="false" customHeight="false" outlineLevel="0" collapsed="false">
      <c r="A30" s="10" t="s">
        <v>212</v>
      </c>
      <c r="B30" s="29" t="n">
        <v>1</v>
      </c>
      <c r="C30" s="30" t="n">
        <v>0.79</v>
      </c>
      <c r="D30" s="29" t="n">
        <v>0</v>
      </c>
      <c r="E30" s="31" t="n">
        <f aca="false">D30/B30</f>
        <v>0</v>
      </c>
      <c r="F30" s="11" t="n">
        <v>0.27</v>
      </c>
      <c r="G30" s="11" t="n">
        <v>0.24</v>
      </c>
      <c r="H30" s="11" t="n">
        <v>0.252</v>
      </c>
    </row>
    <row r="31" customFormat="false" ht="15" hidden="false" customHeight="false" outlineLevel="0" collapsed="false">
      <c r="A31" s="18" t="s">
        <v>213</v>
      </c>
      <c r="B31" s="21" t="n">
        <f aca="false">SUM(B4:B30)</f>
        <v>5569</v>
      </c>
      <c r="C31" s="30" t="n">
        <v>0.928</v>
      </c>
      <c r="D31" s="21" t="n">
        <f aca="false">SUM(D4:D30)</f>
        <v>38</v>
      </c>
      <c r="E31" s="31" t="n">
        <f aca="false">D31/B31</f>
        <v>0.00682348716107021</v>
      </c>
      <c r="F31" s="11" t="n">
        <v>0.305</v>
      </c>
      <c r="G31" s="11" t="n">
        <v>0.282</v>
      </c>
      <c r="H31" s="11" t="n">
        <v>0.301</v>
      </c>
    </row>
    <row r="33" customFormat="false" ht="15" hidden="false" customHeight="false" outlineLevel="0" collapsed="false">
      <c r="A33" s="22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5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" t="s">
        <v>215</v>
      </c>
    </row>
    <row r="3" customFormat="false" ht="54.75" hidden="false" customHeight="true" outlineLevel="0" collapsed="false">
      <c r="A3" s="9" t="s">
        <v>31</v>
      </c>
      <c r="B3" s="9" t="s">
        <v>216</v>
      </c>
      <c r="C3" s="9" t="s">
        <v>217</v>
      </c>
      <c r="D3" s="9" t="s">
        <v>218</v>
      </c>
      <c r="E3" s="9" t="s">
        <v>219</v>
      </c>
      <c r="F3" s="9" t="s">
        <v>220</v>
      </c>
      <c r="G3" s="9" t="s">
        <v>221</v>
      </c>
      <c r="H3" s="9" t="s">
        <v>222</v>
      </c>
      <c r="I3" s="9" t="s">
        <v>223</v>
      </c>
      <c r="J3" s="9" t="s">
        <v>224</v>
      </c>
      <c r="K3" s="9" t="s">
        <v>225</v>
      </c>
      <c r="L3" s="9" t="s">
        <v>226</v>
      </c>
      <c r="M3" s="9" t="s">
        <v>227</v>
      </c>
    </row>
    <row r="4" customFormat="false" ht="15" hidden="false" customHeight="false" outlineLevel="0" collapsed="false">
      <c r="A4" s="10" t="s">
        <v>81</v>
      </c>
      <c r="B4" s="10" t="s">
        <v>228</v>
      </c>
      <c r="C4" s="30" t="n">
        <v>63.08</v>
      </c>
      <c r="D4" s="30" t="n">
        <v>88.94</v>
      </c>
      <c r="E4" s="13" t="n">
        <f aca="false">D4/C4</f>
        <v>1.40995561192137</v>
      </c>
      <c r="F4" s="19" t="n">
        <f aca="false">LN(E4)/LN(20)</f>
        <v>0.114682552249615</v>
      </c>
      <c r="G4" s="32" t="n">
        <f aca="false">INDEX(Municipios_AC!$E$4:$E$25,MATCH(A4,Municipios_AC!$B$4:$B$25,0))</f>
        <v>0.3724</v>
      </c>
      <c r="H4" s="13" t="n">
        <f aca="false">20^G4</f>
        <v>3.05143111520676</v>
      </c>
      <c r="I4" s="32" t="n">
        <f aca="false">INDEX(Municipios_AC!$I$4:$I$25,MATCH(A4,Municipios_AC!$B$4:$B$25,0))</f>
        <v>0.1343</v>
      </c>
      <c r="J4" s="13" t="n">
        <f aca="false">20^I4</f>
        <v>1.49529998314893</v>
      </c>
      <c r="K4" s="12" t="n">
        <v>93.31</v>
      </c>
      <c r="L4" s="12" t="n">
        <v>67.3</v>
      </c>
      <c r="M4" s="31" t="n">
        <f aca="false">L4/K4-1</f>
        <v>-0.278748258493195</v>
      </c>
    </row>
    <row r="5" customFormat="false" ht="15" hidden="false" customHeight="false" outlineLevel="0" collapsed="false">
      <c r="A5" s="10" t="s">
        <v>55</v>
      </c>
      <c r="B5" s="10" t="s">
        <v>229</v>
      </c>
      <c r="C5" s="30" t="n">
        <v>61.93</v>
      </c>
      <c r="D5" s="30" t="n">
        <v>86.37</v>
      </c>
      <c r="E5" s="13" t="n">
        <f aca="false">D5/C5</f>
        <v>1.39463910867108</v>
      </c>
      <c r="F5" s="19" t="n">
        <f aca="false">LN(E5)/LN(20)</f>
        <v>0.11103651727449</v>
      </c>
      <c r="G5" s="32" t="n">
        <f aca="false">INDEX(Municipios_AC!$E$4:$E$25,MATCH(A5,Municipios_AC!$B$4:$B$25,0))</f>
        <v>0.1131</v>
      </c>
      <c r="H5" s="13" t="n">
        <f aca="false">20^G5</f>
        <v>1.4032869695275</v>
      </c>
      <c r="I5" s="32" t="n">
        <f aca="false">INDEX(Municipios_AC!$I$4:$I$25,MATCH(A5,Municipios_AC!$B$4:$B$25,0))</f>
        <v>0.131</v>
      </c>
      <c r="J5" s="13" t="n">
        <f aca="false">20^I5</f>
        <v>1.48059040101809</v>
      </c>
      <c r="K5" s="12" t="n">
        <v>92.05</v>
      </c>
      <c r="L5" s="12" t="n">
        <v>52.2</v>
      </c>
      <c r="M5" s="31" t="n">
        <f aca="false">L5/K5-1</f>
        <v>-0.432916892992939</v>
      </c>
    </row>
    <row r="6" customFormat="false" ht="15" hidden="false" customHeight="false" outlineLevel="0" collapsed="false">
      <c r="A6" s="10" t="s">
        <v>59</v>
      </c>
      <c r="B6" s="10" t="s">
        <v>230</v>
      </c>
      <c r="C6" s="30" t="n">
        <v>67.55</v>
      </c>
      <c r="D6" s="30" t="n">
        <v>96.71</v>
      </c>
      <c r="E6" s="13" t="n">
        <f aca="false">D6/C6</f>
        <v>1.43168023686158</v>
      </c>
      <c r="F6" s="19" t="n">
        <f aca="false">LN(E6)/LN(20)</f>
        <v>0.119786653997937</v>
      </c>
      <c r="G6" s="32" t="n">
        <f aca="false">INDEX(Municipios_AC!$E$4:$E$25,MATCH(A6,Municipios_AC!$B$4:$B$25,0))</f>
        <v>0.1367</v>
      </c>
      <c r="H6" s="13" t="n">
        <f aca="false">20^G6</f>
        <v>1.50608956812359</v>
      </c>
      <c r="I6" s="32" t="n">
        <f aca="false">INDEX(Municipios_AC!$I$4:$I$25,MATCH(A6,Municipios_AC!$B$4:$B$25,0))</f>
        <v>0.152</v>
      </c>
      <c r="J6" s="13" t="n">
        <f aca="false">20^I6</f>
        <v>1.57672719881242</v>
      </c>
      <c r="K6" s="12" t="n">
        <v>99.27</v>
      </c>
      <c r="L6" s="12" t="n">
        <v>52.2</v>
      </c>
      <c r="M6" s="31" t="n">
        <f aca="false">L6/K6-1</f>
        <v>-0.474161378059837</v>
      </c>
    </row>
    <row r="8" customFormat="false" ht="15" hidden="false" customHeight="false" outlineLevel="0" collapsed="false">
      <c r="A8" s="22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2026-10-08T02:59:11Z</dcterms:created>
  <dc:creator>openpyxl</dc:creator>
  <dc:description/>
  <dc:language>en-US</dc:language>
  <cp:lastModifiedBy/>
  <dcterms:modified xsi:type="dcterms:W3CDTF">2026-10-08T02:59:11Z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